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IODE1 " sheetId="1" r:id="rId5"/>
    <sheet state="visible" name="PERIODE 2" sheetId="2" r:id="rId6"/>
    <sheet state="visible" name="PERIODE 3" sheetId="3" r:id="rId7"/>
    <sheet state="visible" name="PERIODE 4" sheetId="4" r:id="rId8"/>
    <sheet state="visible" name="PERIODE 5" sheetId="5" r:id="rId9"/>
    <sheet state="visible" name="PRIODE 7" sheetId="6" r:id="rId10"/>
    <sheet state="visible" name="PERIODE 6" sheetId="7" r:id="rId11"/>
    <sheet state="visible" name="PRIODE 8" sheetId="8" r:id="rId12"/>
    <sheet state="visible" name="Periode 9" sheetId="9" r:id="rId13"/>
    <sheet state="visible" name="PERIODE 10" sheetId="10" r:id="rId14"/>
    <sheet state="visible" name="PERIODE 11" sheetId="11" r:id="rId15"/>
    <sheet state="visible" name="PERIODE 12" sheetId="12" r:id="rId16"/>
    <sheet state="visible" name="PERIODE 13" sheetId="13" r:id="rId17"/>
    <sheet state="visible" name="PERIODE 14" sheetId="14" r:id="rId18"/>
    <sheet state="hidden" name="PERIODE 8" sheetId="15" r:id="rId19"/>
  </sheets>
  <definedNames>
    <definedName hidden="1" localSheetId="7" name="_xlnm._FilterDatabase">'PRIODE 8'!$A$1:$C$3</definedName>
    <definedName hidden="1" localSheetId="12" name="_xlnm._FilterDatabase">'PERIODE 13'!$A$5:$H$65</definedName>
    <definedName hidden="1" localSheetId="13" name="_xlnm._FilterDatabase">'PERIODE 14'!$A$5:$H$57</definedName>
    <definedName hidden="1" localSheetId="14" name="_xlnm._FilterDatabase">'PERIODE 8'!$A$1</definedName>
  </definedNames>
  <calcPr/>
</workbook>
</file>

<file path=xl/sharedStrings.xml><?xml version="1.0" encoding="utf-8"?>
<sst xmlns="http://schemas.openxmlformats.org/spreadsheetml/2006/main" count="2790" uniqueCount="293">
  <si>
    <t>FISIK SPORT</t>
  </si>
  <si>
    <t>No</t>
  </si>
  <si>
    <t>Tanggal Live</t>
  </si>
  <si>
    <t>Jam Live</t>
  </si>
  <si>
    <t>Platform</t>
  </si>
  <si>
    <t>Host Live</t>
  </si>
  <si>
    <t>Revenue Shopee</t>
  </si>
  <si>
    <t>Viewers</t>
  </si>
  <si>
    <t>Likes</t>
  </si>
  <si>
    <t>Revenue tiktok</t>
  </si>
  <si>
    <t>10:00-12:00</t>
  </si>
  <si>
    <t>Shopee</t>
  </si>
  <si>
    <t>JEJE</t>
  </si>
  <si>
    <t>22.00-00.00</t>
  </si>
  <si>
    <t>BILLY</t>
  </si>
  <si>
    <t>12:00-14:00</t>
  </si>
  <si>
    <t>WULAN</t>
  </si>
  <si>
    <t>10.00 - 12.00</t>
  </si>
  <si>
    <t>15:00-17:00</t>
  </si>
  <si>
    <t>20:00-22:00</t>
  </si>
  <si>
    <t>DEVA</t>
  </si>
  <si>
    <t>18:00-20:00</t>
  </si>
  <si>
    <t>GERSON</t>
  </si>
  <si>
    <t>1,0rb</t>
  </si>
  <si>
    <t>2,1rb</t>
  </si>
  <si>
    <t>1,4rb</t>
  </si>
  <si>
    <t>1,3rb</t>
  </si>
  <si>
    <t>22:00-00:00</t>
  </si>
  <si>
    <t>13:00 - 15:00</t>
  </si>
  <si>
    <t>13:00-15:00</t>
  </si>
  <si>
    <t>10.00-12.00</t>
  </si>
  <si>
    <t>TOTAL SESI</t>
  </si>
  <si>
    <t xml:space="preserve">29 SESI </t>
  </si>
  <si>
    <t>32 SESI</t>
  </si>
  <si>
    <t>18.00-20.00</t>
  </si>
  <si>
    <t>TOTAL SESI:</t>
  </si>
  <si>
    <t>25 SESI (2 JAM)</t>
  </si>
  <si>
    <t>35 SESI (2 JAM)</t>
  </si>
  <si>
    <t>12.00 - 14.00</t>
  </si>
  <si>
    <t>15.00 - 17.00</t>
  </si>
  <si>
    <t>18.00 - 20.00</t>
  </si>
  <si>
    <t>NURUL</t>
  </si>
  <si>
    <t>MEWA</t>
  </si>
  <si>
    <t>31 SESI (2 JAM)</t>
  </si>
  <si>
    <t>27 SESI (2 JAM)</t>
  </si>
  <si>
    <t>HOST BACKUP</t>
  </si>
  <si>
    <t>1 SESI (2 JAM)</t>
  </si>
  <si>
    <t>2 SESI (2JAM)</t>
  </si>
  <si>
    <t>gatau kalo sistem backup gimana boleh di cek aja</t>
  </si>
  <si>
    <t>10.00 -12.00</t>
  </si>
  <si>
    <t>13.00 - 15.00</t>
  </si>
  <si>
    <t>1 Agustus 2025</t>
  </si>
  <si>
    <t>MAHEN</t>
  </si>
  <si>
    <t>2 Agustus 2025</t>
  </si>
  <si>
    <t>3 Agustus 2025</t>
  </si>
  <si>
    <t>24 SESI (2 JAM)</t>
  </si>
  <si>
    <t>34 SESI (2 JAM)</t>
  </si>
  <si>
    <t>2 SESI (2 JAM)</t>
  </si>
  <si>
    <t>Comment</t>
  </si>
  <si>
    <t>20.00 - 22.00</t>
  </si>
  <si>
    <t>SOPI</t>
  </si>
  <si>
    <t>20.00-22.00</t>
  </si>
  <si>
    <t>12.00-14.00</t>
  </si>
  <si>
    <t>1,3</t>
  </si>
  <si>
    <t>1,1</t>
  </si>
  <si>
    <t>01 Oktober 2025</t>
  </si>
  <si>
    <t>33 SESI (2 JAM)</t>
  </si>
  <si>
    <t>4 Agustus 2025</t>
  </si>
  <si>
    <t>5 Agustus 2025</t>
  </si>
  <si>
    <t>6 Agustus 2025</t>
  </si>
  <si>
    <t>7 Agustus 2025</t>
  </si>
  <si>
    <t>8 Agustus 2025</t>
  </si>
  <si>
    <t>9 Agustus 2025</t>
  </si>
  <si>
    <t>10 Agustus 2025</t>
  </si>
  <si>
    <t>11 Agustus 2025</t>
  </si>
  <si>
    <t>12 Agustus 2025</t>
  </si>
  <si>
    <t>13 Agustus 2025</t>
  </si>
  <si>
    <t>14 Agustus 2025</t>
  </si>
  <si>
    <t>15 Agustus 2025</t>
  </si>
  <si>
    <t>16 Agustus 2025</t>
  </si>
  <si>
    <t>17 Agustus 2025</t>
  </si>
  <si>
    <t>18 Agustus 2025</t>
  </si>
  <si>
    <t>19 Agustus 2025</t>
  </si>
  <si>
    <t>20 Agustus 2025</t>
  </si>
  <si>
    <t>21 Agustus 2025</t>
  </si>
  <si>
    <t>22 Agustus 2025</t>
  </si>
  <si>
    <t>23 Agustus 2025</t>
  </si>
  <si>
    <t>24 Agustus 2025</t>
  </si>
  <si>
    <t>25 Agustus 2025</t>
  </si>
  <si>
    <t>NADYA</t>
  </si>
  <si>
    <t>26 Agustus 2025</t>
  </si>
  <si>
    <t>27 Agustus 2025</t>
  </si>
  <si>
    <t>28 Agustus 2025</t>
  </si>
  <si>
    <t>29 Agustus 2025</t>
  </si>
  <si>
    <t>30 Agustus 2025</t>
  </si>
  <si>
    <t>31 Agutus 2025</t>
  </si>
  <si>
    <t xml:space="preserve">HOST BACKUP: </t>
  </si>
  <si>
    <t>1 SESI</t>
  </si>
  <si>
    <t>HANIF</t>
  </si>
  <si>
    <t>28 sesi (2jam)</t>
  </si>
  <si>
    <t>32 sesi (2jam)</t>
  </si>
  <si>
    <t>1 sesi (2 JAM)</t>
  </si>
  <si>
    <t>30 Sesi (2 jam) 60 jam</t>
  </si>
  <si>
    <t>30 Sesi ( 2 jam) 60 jam</t>
  </si>
  <si>
    <t xml:space="preserve">TOTAL SESI </t>
  </si>
  <si>
    <t>60 sesi</t>
  </si>
  <si>
    <t xml:space="preserve">total jam </t>
  </si>
  <si>
    <t>120 jam</t>
  </si>
  <si>
    <t>20.00-14.00</t>
  </si>
  <si>
    <t>MUTI</t>
  </si>
  <si>
    <t>MICHAEL</t>
  </si>
  <si>
    <t>28 sesi</t>
  </si>
  <si>
    <t>56 jam</t>
  </si>
  <si>
    <t>27 sesi</t>
  </si>
  <si>
    <t>54 jam</t>
  </si>
  <si>
    <t>3 sesi</t>
  </si>
  <si>
    <t>6 jam</t>
  </si>
  <si>
    <t>2 sesi</t>
  </si>
  <si>
    <t>2 jam</t>
  </si>
  <si>
    <t>04 Januari 2026</t>
  </si>
  <si>
    <t>05 Januari 2026</t>
  </si>
  <si>
    <t>06 Januari 2026</t>
  </si>
  <si>
    <t>07 Januari 2026</t>
  </si>
  <si>
    <t>08 Januari 2026</t>
  </si>
  <si>
    <t>09 Januari 2026</t>
  </si>
  <si>
    <t>10 Januari 2026</t>
  </si>
  <si>
    <t>11 Januari 2026</t>
  </si>
  <si>
    <t>12 Januari 2026</t>
  </si>
  <si>
    <t>OFF</t>
  </si>
  <si>
    <t>13 Januari 2026</t>
  </si>
  <si>
    <t>14 Januari 2026</t>
  </si>
  <si>
    <t>15 Januari 2026</t>
  </si>
  <si>
    <t>16 Januari 2026</t>
  </si>
  <si>
    <t>17 Januari 2026</t>
  </si>
  <si>
    <t>18 Januari 2026</t>
  </si>
  <si>
    <t>19 Januari 2026</t>
  </si>
  <si>
    <t>20 Januari 2026</t>
  </si>
  <si>
    <t>21 Januari 2026</t>
  </si>
  <si>
    <t>22 Januari 2026</t>
  </si>
  <si>
    <t>23 Januari 2026</t>
  </si>
  <si>
    <t>24 Januari 2026</t>
  </si>
  <si>
    <t>25 Januari 2026</t>
  </si>
  <si>
    <t>DINI</t>
  </si>
  <si>
    <t>26 Januari 2026</t>
  </si>
  <si>
    <t>APRILIA</t>
  </si>
  <si>
    <t>27 Januari 2026</t>
  </si>
  <si>
    <t>28 Januari 2026</t>
  </si>
  <si>
    <t>29 Januari 2026</t>
  </si>
  <si>
    <t>30 Januari 2026</t>
  </si>
  <si>
    <t>31 Januari 2026</t>
  </si>
  <si>
    <t>3 Februari 2026</t>
  </si>
  <si>
    <t xml:space="preserve">20.00 - 22.00 </t>
  </si>
  <si>
    <t>4 Februari 2026</t>
  </si>
  <si>
    <t>5 Februari 2026</t>
  </si>
  <si>
    <t>Rp. 389.940</t>
  </si>
  <si>
    <t>6 Februari 2026</t>
  </si>
  <si>
    <t xml:space="preserve">MICHAEL </t>
  </si>
  <si>
    <t>Rp. 1. 518.820</t>
  </si>
  <si>
    <t>7 Februari 2026</t>
  </si>
  <si>
    <t>8 Februari 2026</t>
  </si>
  <si>
    <t>Rp. 1.134.900</t>
  </si>
  <si>
    <t>9 Februari 2026</t>
  </si>
  <si>
    <t>Rp. 2. 719.500</t>
  </si>
  <si>
    <t>10 Februari 2026</t>
  </si>
  <si>
    <t>11 Februari 2026</t>
  </si>
  <si>
    <t>12 Februari 2026</t>
  </si>
  <si>
    <t>13 Februari 2026</t>
  </si>
  <si>
    <t>UCI</t>
  </si>
  <si>
    <t>Rp. 1.985.000</t>
  </si>
  <si>
    <t>14 Februari 2026</t>
  </si>
  <si>
    <t>Rp. 1.236.311</t>
  </si>
  <si>
    <t>15 Februari 2026</t>
  </si>
  <si>
    <t>Rp. 504.000</t>
  </si>
  <si>
    <t>Rp. 330.000</t>
  </si>
  <si>
    <t>16 Februari 2026</t>
  </si>
  <si>
    <t>12.00 - 22.00</t>
  </si>
  <si>
    <t>17 Februari 2026</t>
  </si>
  <si>
    <t>18 Februari 2026</t>
  </si>
  <si>
    <t>22.00 - 22.00</t>
  </si>
  <si>
    <t>19 Februari 2026</t>
  </si>
  <si>
    <t>20 Februari 2026</t>
  </si>
  <si>
    <t>21 Februari 2026</t>
  </si>
  <si>
    <t>22 Februari 2026</t>
  </si>
  <si>
    <t>Rp. 274.900</t>
  </si>
  <si>
    <t>Rp. 269.910</t>
  </si>
  <si>
    <t>23 Februari 2026</t>
  </si>
  <si>
    <t>24 Februari 2026</t>
  </si>
  <si>
    <t>Rp, 984.920</t>
  </si>
  <si>
    <t>25 Februari 2026</t>
  </si>
  <si>
    <t>Rp. 984.920</t>
  </si>
  <si>
    <t>ALIZA</t>
  </si>
  <si>
    <t>Rp. 549.840</t>
  </si>
  <si>
    <t>Rp. 5.138.360</t>
  </si>
  <si>
    <t>26 Februari 2026</t>
  </si>
  <si>
    <t>27 Februari 2026</t>
  </si>
  <si>
    <t>Rp. 324.900</t>
  </si>
  <si>
    <t>28 Februari 2026</t>
  </si>
  <si>
    <t>1 Maret 2026</t>
  </si>
  <si>
    <t>2 Maret 2026</t>
  </si>
  <si>
    <t>3 Maret 2026</t>
  </si>
  <si>
    <t>DINDA</t>
  </si>
  <si>
    <t>Rp. 854.920</t>
  </si>
  <si>
    <t>Rp. 500.000</t>
  </si>
  <si>
    <t>4 maret 2026</t>
  </si>
  <si>
    <t>Rp. 386.820</t>
  </si>
  <si>
    <t>HOST</t>
  </si>
  <si>
    <t xml:space="preserve">DINDA </t>
  </si>
  <si>
    <t>4 Maret 2026</t>
  </si>
  <si>
    <t>Rp. 4.475.250</t>
  </si>
  <si>
    <t>5 Maret 2026</t>
  </si>
  <si>
    <t>Rp. 379.860</t>
  </si>
  <si>
    <t>Rp. 734.500</t>
  </si>
  <si>
    <t>6 Maret 2026</t>
  </si>
  <si>
    <t>7 Maret 2026</t>
  </si>
  <si>
    <t>Rp. 125.910</t>
  </si>
  <si>
    <t>Rp. 2.830.038</t>
  </si>
  <si>
    <t>8 Maret 2026</t>
  </si>
  <si>
    <t>Rp. 2.453.640</t>
  </si>
  <si>
    <t>Rp. 1.184.920</t>
  </si>
  <si>
    <t>9 Maret 2026</t>
  </si>
  <si>
    <t>Rp. 1.425.000</t>
  </si>
  <si>
    <t>Rp. 1.744.200</t>
  </si>
  <si>
    <t>10 Maret 2026</t>
  </si>
  <si>
    <t>Rp. 2.085.000</t>
  </si>
  <si>
    <t>11 Maret 2026</t>
  </si>
  <si>
    <t>Rp. 11.149.590</t>
  </si>
  <si>
    <t>Rp. 1.715.790</t>
  </si>
  <si>
    <t>12 Maret 2026</t>
  </si>
  <si>
    <t>Rp. 2.574.200</t>
  </si>
  <si>
    <t>Rp. 634.800</t>
  </si>
  <si>
    <t>13 Maret 2026</t>
  </si>
  <si>
    <t>Rp. 1.874.400</t>
  </si>
  <si>
    <t>Rp. 99.800</t>
  </si>
  <si>
    <t>14 Maret 2026</t>
  </si>
  <si>
    <t>15 Maret 2026</t>
  </si>
  <si>
    <t>Rp. 1.688.241</t>
  </si>
  <si>
    <t>Rp. 2.742.300</t>
  </si>
  <si>
    <t>16 Maret 2026</t>
  </si>
  <si>
    <t>Rp. 649.800</t>
  </si>
  <si>
    <t>Rp. 179.800</t>
  </si>
  <si>
    <t>17 Maret 2026</t>
  </si>
  <si>
    <t>18 Maret 2026</t>
  </si>
  <si>
    <t>Rp. 974.901</t>
  </si>
  <si>
    <t>24 Maret 2026</t>
  </si>
  <si>
    <t>Rp. 5.797.461</t>
  </si>
  <si>
    <t>Rp. 3.669.073</t>
  </si>
  <si>
    <t>25 Maret 2026</t>
  </si>
  <si>
    <t>Rp. 12.510.587</t>
  </si>
  <si>
    <t>Rp. 2.621.300</t>
  </si>
  <si>
    <t>Rp. 2.730.600</t>
  </si>
  <si>
    <t>Rp. 593.955</t>
  </si>
  <si>
    <t>26 Maret 2026</t>
  </si>
  <si>
    <t xml:space="preserve">18.00 - 20.00 </t>
  </si>
  <si>
    <t>Rp. 644.800</t>
  </si>
  <si>
    <t>27 Maret 2026</t>
  </si>
  <si>
    <t>TATA</t>
  </si>
  <si>
    <t>Rp. 420.502</t>
  </si>
  <si>
    <t>Rp. 2.570.000</t>
  </si>
  <si>
    <t>28 Maret 2026</t>
  </si>
  <si>
    <t>29 Maret 2026</t>
  </si>
  <si>
    <t>Rp. 381.631</t>
  </si>
  <si>
    <t>30 Maret 2026</t>
  </si>
  <si>
    <t xml:space="preserve">12.00 - 14.00 </t>
  </si>
  <si>
    <t>Rp. 1.985.355</t>
  </si>
  <si>
    <t>31 Maret 2026</t>
  </si>
  <si>
    <t>Rp. 390.802</t>
  </si>
  <si>
    <t>Rp. 5.825.841</t>
  </si>
  <si>
    <t>Rp. 1.311.472</t>
  </si>
  <si>
    <t>Rp. 394.800</t>
  </si>
  <si>
    <t>Rp. 1.354.862</t>
  </si>
  <si>
    <t>Rp. 1.487.231</t>
  </si>
  <si>
    <t>Rp. 2.153.900</t>
  </si>
  <si>
    <t>Rp. 1.418.862</t>
  </si>
  <si>
    <t xml:space="preserve">UCI </t>
  </si>
  <si>
    <t>Rp. 834.711</t>
  </si>
  <si>
    <t>Rp. 87.356</t>
  </si>
  <si>
    <t>Rp. 1. 139.427</t>
  </si>
  <si>
    <t>Rp. 1.284.600</t>
  </si>
  <si>
    <t>Rp. 1.083.310</t>
  </si>
  <si>
    <t>Rp. 1.533.621</t>
  </si>
  <si>
    <t>Rp. 1.408.446</t>
  </si>
  <si>
    <t>Rp. 2.520.855</t>
  </si>
  <si>
    <t>Rp. 8.730.463</t>
  </si>
  <si>
    <t>Rp. 2.043.671</t>
  </si>
  <si>
    <t>Rp. 619.426</t>
  </si>
  <si>
    <t>Rp. 1.320.431</t>
  </si>
  <si>
    <t>Rp.1.404.655</t>
  </si>
  <si>
    <t>Rp. 1.169.55</t>
  </si>
  <si>
    <t>Rp. 2. 086.891</t>
  </si>
  <si>
    <t>Rp. 3.464.012</t>
  </si>
  <si>
    <t>Rp. 1.687.411</t>
  </si>
  <si>
    <t>Rp. 2.196.316</t>
  </si>
  <si>
    <t>Rp. 2.442.610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</si>
</sst>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p]#,##0"/>
    <numFmt numFmtId="165" formatCode="d mmm yyyy"/>
    <numFmt numFmtId="166" formatCode="d mmmm yyyy"/>
    <numFmt numFmtId="167" formatCode="d/m/yyyy"/>
    <numFmt numFmtId="168" formatCode="dd mmmm yyyy"/>
    <numFmt numFmtId="169" formatCode="dd/mm/yy"/>
  </numFmts>
  <fonts count="1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sz val="12.0"/>
      <color theme="1"/>
      <name val="Calibri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5" numFmtId="0" xfId="0" applyAlignment="1" applyBorder="1" applyFill="1" applyFont="1">
      <alignment horizontal="center" vertical="bottom"/>
    </xf>
    <xf borderId="7" fillId="2" fontId="5" numFmtId="164" xfId="0" applyAlignment="1" applyBorder="1" applyFont="1" applyNumberFormat="1">
      <alignment horizontal="center" readingOrder="0" vertical="bottom"/>
    </xf>
    <xf borderId="7" fillId="2" fontId="5" numFmtId="0" xfId="0" applyAlignment="1" applyBorder="1" applyFont="1">
      <alignment vertical="bottom"/>
    </xf>
    <xf borderId="7" fillId="3" fontId="6" numFmtId="0" xfId="0" applyAlignment="1" applyBorder="1" applyFill="1" applyFont="1">
      <alignment horizontal="center" vertical="bottom"/>
    </xf>
    <xf borderId="8" fillId="3" fontId="6" numFmtId="165" xfId="0" applyAlignment="1" applyBorder="1" applyFont="1" applyNumberFormat="1">
      <alignment horizontal="center" readingOrder="0" vertical="bottom"/>
    </xf>
    <xf borderId="7" fillId="3" fontId="6" numFmtId="0" xfId="0" applyAlignment="1" applyBorder="1" applyFont="1">
      <alignment horizontal="center" readingOrder="0" vertical="bottom"/>
    </xf>
    <xf borderId="7" fillId="3" fontId="5" numFmtId="0" xfId="0" applyAlignment="1" applyBorder="1" applyFont="1">
      <alignment horizontal="center" vertical="bottom"/>
    </xf>
    <xf borderId="7" fillId="3" fontId="5" numFmtId="0" xfId="0" applyAlignment="1" applyBorder="1" applyFont="1">
      <alignment horizontal="center" readingOrder="0" vertical="bottom"/>
    </xf>
    <xf borderId="9" fillId="3" fontId="7" numFmtId="164" xfId="0" applyAlignment="1" applyBorder="1" applyFont="1" applyNumberFormat="1">
      <alignment horizontal="center" readingOrder="0" vertical="bottom"/>
    </xf>
    <xf borderId="6" fillId="3" fontId="7" numFmtId="0" xfId="0" applyAlignment="1" applyBorder="1" applyFont="1">
      <alignment horizontal="center" readingOrder="0" vertical="bottom"/>
    </xf>
    <xf borderId="6" fillId="3" fontId="7" numFmtId="0" xfId="0" applyAlignment="1" applyBorder="1" applyFont="1">
      <alignment horizontal="center" vertical="bottom"/>
    </xf>
    <xf borderId="9" fillId="0" fontId="4" numFmtId="0" xfId="0" applyBorder="1" applyFont="1"/>
    <xf borderId="10" fillId="0" fontId="4" numFmtId="0" xfId="0" applyBorder="1" applyFont="1"/>
    <xf borderId="7" fillId="3" fontId="6" numFmtId="3" xfId="0" applyAlignment="1" applyBorder="1" applyFont="1" applyNumberFormat="1">
      <alignment horizontal="center" vertical="bottom"/>
    </xf>
    <xf borderId="6" fillId="3" fontId="7" numFmtId="3" xfId="0" applyAlignment="1" applyBorder="1" applyFont="1" applyNumberFormat="1">
      <alignment horizontal="center" vertical="bottom"/>
    </xf>
    <xf borderId="9" fillId="3" fontId="6" numFmtId="164" xfId="0" applyAlignment="1" applyBorder="1" applyFont="1" applyNumberFormat="1">
      <alignment horizontal="center" readingOrder="0" vertical="bottom"/>
    </xf>
    <xf borderId="6" fillId="3" fontId="6" numFmtId="0" xfId="0" applyAlignment="1" applyBorder="1" applyFont="1">
      <alignment horizontal="center" readingOrder="0" vertical="bottom"/>
    </xf>
    <xf borderId="6" fillId="3" fontId="6" numFmtId="0" xfId="0" applyAlignment="1" applyBorder="1" applyFont="1">
      <alignment horizontal="center" vertical="bottom"/>
    </xf>
    <xf borderId="7" fillId="3" fontId="6" numFmtId="0" xfId="0" applyAlignment="1" applyBorder="1" applyFont="1">
      <alignment vertical="bottom"/>
    </xf>
    <xf borderId="6" fillId="3" fontId="6" numFmtId="3" xfId="0" applyAlignment="1" applyBorder="1" applyFont="1" applyNumberFormat="1">
      <alignment horizontal="center" vertical="bottom"/>
    </xf>
    <xf borderId="8" fillId="3" fontId="6" numFmtId="165" xfId="0" applyAlignment="1" applyBorder="1" applyFont="1" applyNumberFormat="1">
      <alignment horizontal="center" readingOrder="0" vertical="center"/>
    </xf>
    <xf borderId="7" fillId="3" fontId="6" numFmtId="3" xfId="0" applyAlignment="1" applyBorder="1" applyFont="1" applyNumberFormat="1">
      <alignment horizontal="center" readingOrder="0" vertical="bottom"/>
    </xf>
    <xf borderId="9" fillId="3" fontId="7" numFmtId="164" xfId="0" applyAlignment="1" applyBorder="1" applyFont="1" applyNumberFormat="1">
      <alignment horizontal="center" vertical="bottom"/>
    </xf>
    <xf borderId="8" fillId="3" fontId="6" numFmtId="165" xfId="0" applyAlignment="1" applyBorder="1" applyFont="1" applyNumberFormat="1">
      <alignment horizontal="center" readingOrder="0" shrinkToFit="0" vertical="bottom" wrapText="0"/>
    </xf>
    <xf borderId="8" fillId="3" fontId="6" numFmtId="0" xfId="0" applyAlignment="1" applyBorder="1" applyFont="1">
      <alignment horizontal="center" readingOrder="0" vertical="bottom"/>
    </xf>
    <xf borderId="8" fillId="3" fontId="5" numFmtId="0" xfId="0" applyAlignment="1" applyBorder="1" applyFont="1">
      <alignment horizontal="center" vertical="bottom"/>
    </xf>
    <xf borderId="8" fillId="3" fontId="5" numFmtId="0" xfId="0" applyAlignment="1" applyBorder="1" applyFont="1">
      <alignment horizontal="center" readingOrder="0" vertical="bottom"/>
    </xf>
    <xf borderId="11" fillId="0" fontId="2" numFmtId="0" xfId="0" applyBorder="1" applyFont="1"/>
    <xf borderId="12" fillId="0" fontId="4" numFmtId="0" xfId="0" applyBorder="1" applyFont="1"/>
    <xf borderId="13" fillId="0" fontId="4" numFmtId="0" xfId="0" applyBorder="1" applyFont="1"/>
    <xf borderId="0" fillId="0" fontId="2" numFmtId="164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7" fillId="2" fontId="9" numFmtId="164" xfId="0" applyAlignment="1" applyBorder="1" applyFont="1" applyNumberFormat="1">
      <alignment horizontal="center" readingOrder="0" vertical="bottom"/>
    </xf>
    <xf borderId="7" fillId="2" fontId="10" numFmtId="0" xfId="0" applyAlignment="1" applyBorder="1" applyFont="1">
      <alignment horizontal="center" vertical="bottom"/>
    </xf>
    <xf borderId="10" fillId="3" fontId="6" numFmtId="165" xfId="0" applyAlignment="1" applyBorder="1" applyFont="1" applyNumberFormat="1">
      <alignment horizontal="center" readingOrder="0" vertical="bottom"/>
    </xf>
    <xf borderId="9" fillId="3" fontId="8" numFmtId="164" xfId="0" applyAlignment="1" applyBorder="1" applyFont="1" applyNumberFormat="1">
      <alignment horizontal="center" readingOrder="0" vertical="bottom"/>
    </xf>
    <xf borderId="6" fillId="3" fontId="2" numFmtId="0" xfId="0" applyAlignment="1" applyBorder="1" applyFont="1">
      <alignment horizontal="center" readingOrder="0" vertical="bottom"/>
    </xf>
    <xf borderId="6" fillId="3" fontId="8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readingOrder="0" vertical="bottom"/>
    </xf>
    <xf borderId="7" fillId="3" fontId="12" numFmtId="0" xfId="0" applyAlignment="1" applyBorder="1" applyFont="1">
      <alignment horizontal="center" readingOrder="0" vertical="bottom"/>
    </xf>
    <xf borderId="6" fillId="3" fontId="6" numFmtId="0" xfId="0" applyAlignment="1" applyBorder="1" applyFont="1">
      <alignment vertical="bottom"/>
    </xf>
    <xf borderId="7" fillId="3" fontId="6" numFmtId="165" xfId="0" applyAlignment="1" applyBorder="1" applyFont="1" applyNumberFormat="1">
      <alignment horizontal="center" readingOrder="0" vertical="bottom"/>
    </xf>
    <xf borderId="6" fillId="3" fontId="6" numFmtId="0" xfId="0" applyAlignment="1" applyBorder="1" applyFont="1">
      <alignment readingOrder="0" vertical="bottom"/>
    </xf>
    <xf borderId="6" fillId="3" fontId="6" numFmtId="0" xfId="0" applyAlignment="1" applyBorder="1" applyFont="1">
      <alignment horizontal="right" readingOrder="0" vertical="bottom"/>
    </xf>
    <xf borderId="6" fillId="3" fontId="6" numFmtId="3" xfId="0" applyAlignment="1" applyBorder="1" applyFont="1" applyNumberFormat="1">
      <alignment vertical="bottom"/>
    </xf>
    <xf borderId="6" fillId="3" fontId="6" numFmtId="3" xfId="0" applyAlignment="1" applyBorder="1" applyFont="1" applyNumberFormat="1">
      <alignment readingOrder="0" vertical="bottom"/>
    </xf>
    <xf borderId="9" fillId="3" fontId="8" numFmtId="164" xfId="0" applyAlignment="1" applyBorder="1" applyFont="1" applyNumberFormat="1">
      <alignment horizontal="center" vertical="bottom"/>
    </xf>
    <xf borderId="6" fillId="3" fontId="2" numFmtId="0" xfId="0" applyAlignment="1" applyBorder="1" applyFont="1">
      <alignment vertical="bottom"/>
    </xf>
    <xf borderId="0" fillId="0" fontId="1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6" fillId="3" fontId="7" numFmtId="3" xfId="0" applyAlignment="1" applyBorder="1" applyFont="1" applyNumberFormat="1">
      <alignment horizontal="center" readingOrder="0" vertical="bottom"/>
    </xf>
    <xf borderId="6" fillId="3" fontId="6" numFmtId="0" xfId="0" applyAlignment="1" applyBorder="1" applyFont="1">
      <alignment horizontal="center" vertical="bottom"/>
    </xf>
    <xf borderId="6" fillId="3" fontId="6" numFmtId="3" xfId="0" applyAlignment="1" applyBorder="1" applyFont="1" applyNumberFormat="1">
      <alignment horizontal="center" readingOrder="0" vertical="bottom"/>
    </xf>
    <xf borderId="9" fillId="3" fontId="6" numFmtId="164" xfId="0" applyAlignment="1" applyBorder="1" applyFont="1" applyNumberFormat="1">
      <alignment horizontal="right" readingOrder="0" vertical="bottom"/>
    </xf>
    <xf borderId="9" fillId="3" fontId="6" numFmtId="164" xfId="0" applyAlignment="1" applyBorder="1" applyFont="1" applyNumberFormat="1">
      <alignment readingOrder="0" vertical="bottom"/>
    </xf>
    <xf borderId="9" fillId="3" fontId="6" numFmtId="164" xfId="0" applyAlignment="1" applyBorder="1" applyFont="1" applyNumberFormat="1">
      <alignment vertical="bottom"/>
    </xf>
    <xf borderId="0" fillId="0" fontId="2" numFmtId="0" xfId="0" applyAlignment="1" applyFont="1">
      <alignment readingOrder="0"/>
    </xf>
    <xf borderId="6" fillId="3" fontId="7" numFmtId="0" xfId="0" applyAlignment="1" applyBorder="1" applyFont="1">
      <alignment horizontal="center" vertical="bottom"/>
    </xf>
    <xf borderId="9" fillId="3" fontId="6" numFmtId="165" xfId="0" applyAlignment="1" applyBorder="1" applyFont="1" applyNumberFormat="1">
      <alignment horizontal="center" readingOrder="0" vertical="bottom"/>
    </xf>
    <xf borderId="7" fillId="3" fontId="6" numFmtId="164" xfId="0" applyAlignment="1" applyBorder="1" applyFont="1" applyNumberFormat="1">
      <alignment horizontal="center" readingOrder="0" vertical="bottom"/>
    </xf>
    <xf borderId="7" fillId="3" fontId="6" numFmtId="0" xfId="0" applyAlignment="1" applyBorder="1" applyFont="1">
      <alignment horizontal="center" vertical="bottom"/>
    </xf>
    <xf borderId="0" fillId="0" fontId="2" numFmtId="164" xfId="0" applyFont="1" applyNumberFormat="1"/>
    <xf borderId="3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7" fillId="2" fontId="5" numFmtId="0" xfId="0" applyAlignment="1" applyBorder="1" applyFont="1">
      <alignment readingOrder="0" vertical="bottom"/>
    </xf>
    <xf borderId="8" fillId="3" fontId="6" numFmtId="166" xfId="0" applyAlignment="1" applyBorder="1" applyFont="1" applyNumberFormat="1">
      <alignment horizontal="center" readingOrder="0" vertical="bottom"/>
    </xf>
    <xf borderId="8" fillId="3" fontId="6" numFmtId="166" xfId="0" applyAlignment="1" applyBorder="1" applyFont="1" applyNumberFormat="1">
      <alignment horizontal="center" readingOrder="0" vertical="top"/>
    </xf>
    <xf borderId="13" fillId="3" fontId="6" numFmtId="0" xfId="0" applyAlignment="1" applyBorder="1" applyFont="1">
      <alignment horizontal="center" readingOrder="0" vertical="bottom"/>
    </xf>
    <xf borderId="9" fillId="0" fontId="4" numFmtId="0" xfId="0" applyBorder="1" applyFont="1"/>
    <xf borderId="10" fillId="3" fontId="6" numFmtId="166" xfId="0" applyAlignment="1" applyBorder="1" applyFont="1" applyNumberFormat="1">
      <alignment horizontal="center" readingOrder="0" vertical="top"/>
    </xf>
    <xf borderId="8" fillId="3" fontId="6" numFmtId="166" xfId="0" applyAlignment="1" applyBorder="1" applyFont="1" applyNumberFormat="1">
      <alignment horizontal="center" readingOrder="0" vertical="top"/>
    </xf>
    <xf borderId="7" fillId="3" fontId="7" numFmtId="164" xfId="0" applyAlignment="1" applyBorder="1" applyFont="1" applyNumberFormat="1">
      <alignment horizontal="center" readingOrder="0" vertical="bottom"/>
    </xf>
    <xf borderId="7" fillId="3" fontId="6" numFmtId="166" xfId="0" applyAlignment="1" applyBorder="1" applyFont="1" applyNumberFormat="1">
      <alignment horizontal="center" readingOrder="0" vertical="bottom"/>
    </xf>
    <xf borderId="9" fillId="3" fontId="6" numFmtId="166" xfId="0" applyAlignment="1" applyBorder="1" applyFont="1" applyNumberFormat="1">
      <alignment horizontal="center" readingOrder="0" vertical="top"/>
    </xf>
    <xf borderId="13" fillId="3" fontId="6" numFmtId="0" xfId="0" applyAlignment="1" applyBorder="1" applyFont="1">
      <alignment horizontal="center" vertical="bottom"/>
    </xf>
    <xf borderId="10" fillId="0" fontId="4" numFmtId="0" xfId="0" applyBorder="1" applyFont="1"/>
    <xf borderId="7" fillId="3" fontId="5" numFmtId="0" xfId="0" applyAlignment="1" applyBorder="1" applyFont="1">
      <alignment horizontal="center" vertical="bottom"/>
    </xf>
    <xf borderId="0" fillId="3" fontId="6" numFmtId="166" xfId="0" applyAlignment="1" applyFont="1" applyNumberFormat="1">
      <alignment horizontal="center" readingOrder="0" vertical="top"/>
    </xf>
    <xf borderId="13" fillId="3" fontId="5" numFmtId="0" xfId="0" applyAlignment="1" applyBorder="1" applyFont="1">
      <alignment horizontal="center" readingOrder="0" vertical="bottom"/>
    </xf>
    <xf borderId="10" fillId="3" fontId="6" numFmtId="166" xfId="0" applyAlignment="1" applyBorder="1" applyFont="1" applyNumberFormat="1">
      <alignment horizontal="center" readingOrder="0" vertical="bottom"/>
    </xf>
    <xf borderId="7" fillId="3" fontId="6" numFmtId="0" xfId="0" applyAlignment="1" applyBorder="1" applyFont="1">
      <alignment horizontal="center" readingOrder="0" vertical="bottom"/>
    </xf>
    <xf borderId="10" fillId="3" fontId="6" numFmtId="0" xfId="0" applyAlignment="1" applyBorder="1" applyFont="1">
      <alignment horizontal="center" readingOrder="0" vertical="bottom"/>
    </xf>
    <xf borderId="7" fillId="3" fontId="6" numFmtId="166" xfId="0" applyAlignment="1" applyBorder="1" applyFont="1" applyNumberFormat="1">
      <alignment horizontal="center" readingOrder="0" vertical="bottom"/>
    </xf>
    <xf borderId="0" fillId="3" fontId="2" numFmtId="167" xfId="0" applyAlignment="1" applyFont="1" applyNumberFormat="1">
      <alignment horizontal="left" readingOrder="0"/>
    </xf>
    <xf borderId="9" fillId="0" fontId="4" numFmtId="0" xfId="0" applyBorder="1" applyFont="1"/>
    <xf borderId="7" fillId="4" fontId="5" numFmtId="0" xfId="0" applyAlignment="1" applyBorder="1" applyFill="1" applyFont="1">
      <alignment horizontal="center" readingOrder="0" vertical="bottom"/>
    </xf>
    <xf borderId="9" fillId="3" fontId="6" numFmtId="164" xfId="0" applyAlignment="1" applyBorder="1" applyFont="1" applyNumberFormat="1">
      <alignment horizontal="center" vertical="bottom"/>
    </xf>
    <xf borderId="9" fillId="3" fontId="6" numFmtId="166" xfId="0" applyAlignment="1" applyBorder="1" applyFont="1" applyNumberFormat="1">
      <alignment horizontal="center" readingOrder="0" vertical="bottom"/>
    </xf>
    <xf borderId="1" fillId="3" fontId="6" numFmtId="164" xfId="0" applyAlignment="1" applyBorder="1" applyFont="1" applyNumberFormat="1">
      <alignment horizontal="center" readingOrder="0" vertical="bottom"/>
    </xf>
    <xf borderId="2" fillId="3" fontId="6" numFmtId="164" xfId="0" applyAlignment="1" applyBorder="1" applyFont="1" applyNumberFormat="1">
      <alignment horizontal="center" readingOrder="0" vertical="bottom"/>
    </xf>
    <xf borderId="2" fillId="3" fontId="6" numFmtId="164" xfId="0" applyAlignment="1" applyBorder="1" applyFont="1" applyNumberFormat="1">
      <alignment horizontal="center" vertical="bottom"/>
    </xf>
    <xf borderId="3" fillId="3" fontId="6" numFmtId="164" xfId="0" applyAlignment="1" applyBorder="1" applyFont="1" applyNumberFormat="1">
      <alignment horizontal="center" readingOrder="0" vertical="bottom"/>
    </xf>
    <xf borderId="4" fillId="3" fontId="6" numFmtId="164" xfId="0" applyAlignment="1" applyBorder="1" applyFont="1" applyNumberFormat="1">
      <alignment horizontal="center" vertical="bottom"/>
    </xf>
    <xf borderId="5" fillId="3" fontId="6" numFmtId="164" xfId="0" applyAlignment="1" applyBorder="1" applyFont="1" applyNumberFormat="1">
      <alignment horizontal="center" vertical="bottom"/>
    </xf>
    <xf borderId="6" fillId="3" fontId="6" numFmtId="164" xfId="0" applyAlignment="1" applyBorder="1" applyFont="1" applyNumberFormat="1">
      <alignment horizontal="center" vertical="bottom"/>
    </xf>
    <xf borderId="8" fillId="3" fontId="6" numFmtId="164" xfId="0" applyAlignment="1" applyBorder="1" applyFont="1" applyNumberFormat="1">
      <alignment horizontal="center" readingOrder="0" vertical="bottom"/>
    </xf>
    <xf borderId="9" fillId="3" fontId="6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center" readingOrder="0" vertical="bottom"/>
    </xf>
    <xf borderId="0" fillId="0" fontId="2" numFmtId="0" xfId="0" applyFont="1"/>
    <xf borderId="7" fillId="5" fontId="10" numFmtId="0" xfId="0" applyAlignment="1" applyBorder="1" applyFill="1" applyFont="1">
      <alignment horizontal="center" readingOrder="0"/>
    </xf>
    <xf borderId="7" fillId="5" fontId="2" numFmtId="0" xfId="0" applyAlignment="1" applyBorder="1" applyFont="1">
      <alignment horizontal="center" readingOrder="0"/>
    </xf>
    <xf borderId="8" fillId="5" fontId="10" numFmtId="0" xfId="0" applyAlignment="1" applyBorder="1" applyFont="1">
      <alignment horizontal="center" readingOrder="0"/>
    </xf>
    <xf borderId="8" fillId="5" fontId="2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 vertical="bottom"/>
    </xf>
    <xf borderId="3" fillId="3" fontId="6" numFmtId="0" xfId="0" applyAlignment="1" applyBorder="1" applyFont="1">
      <alignment horizontal="center" readingOrder="0" vertical="bottom"/>
    </xf>
    <xf borderId="2" fillId="3" fontId="6" numFmtId="0" xfId="0" applyAlignment="1" applyBorder="1" applyFont="1">
      <alignment horizontal="center" readingOrder="0" vertical="bottom"/>
    </xf>
    <xf borderId="0" fillId="3" fontId="10" numFmtId="0" xfId="0" applyAlignment="1" applyFont="1">
      <alignment horizontal="center" readingOrder="0"/>
    </xf>
    <xf borderId="0" fillId="3" fontId="6" numFmtId="168" xfId="0" applyAlignment="1" applyFont="1" applyNumberFormat="1">
      <alignment horizontal="center" readingOrder="0" vertical="bottom"/>
    </xf>
    <xf borderId="8" fillId="3" fontId="6" numFmtId="168" xfId="0" applyAlignment="1" applyBorder="1" applyFont="1" applyNumberFormat="1">
      <alignment horizontal="center" readingOrder="0" vertical="bottom"/>
    </xf>
    <xf borderId="7" fillId="6" fontId="5" numFmtId="0" xfId="0" applyAlignment="1" applyBorder="1" applyFill="1" applyFont="1">
      <alignment horizontal="center" readingOrder="0" vertical="bottom"/>
    </xf>
    <xf borderId="0" fillId="3" fontId="6" numFmtId="166" xfId="0" applyAlignment="1" applyFont="1" applyNumberFormat="1">
      <alignment horizontal="center" readingOrder="0" vertical="bottom"/>
    </xf>
    <xf borderId="3" fillId="3" fontId="6" numFmtId="166" xfId="0" applyAlignment="1" applyBorder="1" applyFont="1" applyNumberFormat="1">
      <alignment horizontal="center" readingOrder="0" vertical="bottom"/>
    </xf>
    <xf borderId="2" fillId="3" fontId="6" numFmtId="166" xfId="0" applyAlignment="1" applyBorder="1" applyFont="1" applyNumberFormat="1">
      <alignment horizontal="center" readingOrder="0" vertical="bottom"/>
    </xf>
    <xf borderId="5" fillId="3" fontId="6" numFmtId="166" xfId="0" applyAlignment="1" applyBorder="1" applyFont="1" applyNumberFormat="1">
      <alignment horizontal="center" readingOrder="0" vertical="bottom"/>
    </xf>
    <xf borderId="8" fillId="3" fontId="6" numFmtId="169" xfId="0" applyAlignment="1" applyBorder="1" applyFont="1" applyNumberFormat="1">
      <alignment horizontal="center" readingOrder="0" vertical="bottom"/>
    </xf>
    <xf borderId="0" fillId="6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5.75"/>
    <col customWidth="1" min="6" max="6" width="16.25"/>
  </cols>
  <sheetData>
    <row r="1">
      <c r="A1" s="1"/>
      <c r="F1" s="2"/>
      <c r="G1" s="2"/>
      <c r="H1" s="2"/>
    </row>
    <row r="2">
      <c r="A2" s="3" t="s">
        <v>0</v>
      </c>
      <c r="B2" s="4"/>
      <c r="C2" s="5"/>
      <c r="F2" s="2"/>
      <c r="G2" s="2"/>
      <c r="H2" s="2"/>
    </row>
    <row r="3">
      <c r="A3" s="6"/>
      <c r="B3" s="7"/>
      <c r="C3" s="8"/>
      <c r="F3" s="2"/>
      <c r="G3" s="2"/>
      <c r="H3" s="2"/>
    </row>
    <row r="4">
      <c r="F4" s="2"/>
      <c r="G4" s="2"/>
      <c r="H4" s="2"/>
    </row>
    <row r="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10" t="s">
        <v>6</v>
      </c>
      <c r="G5" s="9" t="s">
        <v>7</v>
      </c>
      <c r="H5" s="9" t="s">
        <v>8</v>
      </c>
      <c r="I5" s="11" t="s">
        <v>9</v>
      </c>
    </row>
    <row r="6">
      <c r="A6" s="12">
        <v>1.0</v>
      </c>
      <c r="B6" s="13">
        <v>45719.0</v>
      </c>
      <c r="C6" s="14" t="s">
        <v>10</v>
      </c>
      <c r="D6" s="15" t="s">
        <v>11</v>
      </c>
      <c r="E6" s="16" t="s">
        <v>12</v>
      </c>
      <c r="F6" s="17">
        <v>3443460.0</v>
      </c>
      <c r="G6" s="18">
        <v>739.0</v>
      </c>
      <c r="H6" s="19"/>
      <c r="I6" s="12"/>
    </row>
    <row r="7">
      <c r="A7" s="12">
        <v>2.0</v>
      </c>
      <c r="B7" s="20"/>
      <c r="C7" s="14" t="s">
        <v>13</v>
      </c>
      <c r="D7" s="15" t="s">
        <v>11</v>
      </c>
      <c r="E7" s="16" t="s">
        <v>14</v>
      </c>
      <c r="F7" s="17">
        <v>3469618.0</v>
      </c>
      <c r="G7" s="18">
        <v>1051.0</v>
      </c>
      <c r="H7" s="19"/>
      <c r="I7" s="12"/>
    </row>
    <row r="8">
      <c r="A8" s="12">
        <v>3.0</v>
      </c>
      <c r="B8" s="13">
        <v>45720.0</v>
      </c>
      <c r="C8" s="14" t="s">
        <v>10</v>
      </c>
      <c r="D8" s="15" t="s">
        <v>11</v>
      </c>
      <c r="E8" s="16" t="s">
        <v>12</v>
      </c>
      <c r="F8" s="17">
        <v>2458110.0</v>
      </c>
      <c r="G8" s="18">
        <v>842.0</v>
      </c>
      <c r="H8" s="19"/>
      <c r="I8" s="12"/>
    </row>
    <row r="9">
      <c r="A9" s="12">
        <v>4.0</v>
      </c>
      <c r="B9" s="20"/>
      <c r="C9" s="14" t="s">
        <v>15</v>
      </c>
      <c r="D9" s="15" t="s">
        <v>11</v>
      </c>
      <c r="E9" s="16" t="s">
        <v>16</v>
      </c>
      <c r="F9" s="17">
        <v>2906902.0</v>
      </c>
      <c r="G9" s="18">
        <v>2249.0</v>
      </c>
      <c r="H9" s="19"/>
      <c r="I9" s="12"/>
    </row>
    <row r="10">
      <c r="A10" s="12">
        <v>5.0</v>
      </c>
      <c r="B10" s="13">
        <v>45721.0</v>
      </c>
      <c r="C10" s="14" t="s">
        <v>17</v>
      </c>
      <c r="D10" s="15" t="s">
        <v>11</v>
      </c>
      <c r="E10" s="16" t="s">
        <v>12</v>
      </c>
      <c r="F10" s="17">
        <v>808140.0</v>
      </c>
      <c r="G10" s="18">
        <v>736.0</v>
      </c>
      <c r="H10" s="19"/>
      <c r="I10" s="12"/>
    </row>
    <row r="11">
      <c r="A11" s="12">
        <v>6.0</v>
      </c>
      <c r="B11" s="21"/>
      <c r="C11" s="14" t="s">
        <v>15</v>
      </c>
      <c r="D11" s="15" t="s">
        <v>11</v>
      </c>
      <c r="E11" s="16" t="s">
        <v>16</v>
      </c>
      <c r="F11" s="17">
        <v>1131548.0</v>
      </c>
      <c r="G11" s="18">
        <v>963.0</v>
      </c>
      <c r="H11" s="19"/>
      <c r="I11" s="12"/>
    </row>
    <row r="12">
      <c r="A12" s="12">
        <v>7.0</v>
      </c>
      <c r="B12" s="21"/>
      <c r="C12" s="14" t="s">
        <v>18</v>
      </c>
      <c r="D12" s="15" t="s">
        <v>11</v>
      </c>
      <c r="E12" s="16" t="s">
        <v>16</v>
      </c>
      <c r="F12" s="17">
        <v>0.0</v>
      </c>
      <c r="G12" s="18">
        <v>800.0</v>
      </c>
      <c r="H12" s="19"/>
      <c r="I12" s="12"/>
    </row>
    <row r="13">
      <c r="A13" s="12">
        <v>8.0</v>
      </c>
      <c r="B13" s="20"/>
      <c r="C13" s="12" t="s">
        <v>19</v>
      </c>
      <c r="D13" s="15" t="s">
        <v>11</v>
      </c>
      <c r="E13" s="16" t="s">
        <v>20</v>
      </c>
      <c r="F13" s="17">
        <v>0.0</v>
      </c>
      <c r="G13" s="18">
        <v>697.0</v>
      </c>
      <c r="H13" s="19"/>
      <c r="I13" s="12"/>
    </row>
    <row r="14">
      <c r="A14" s="12">
        <v>9.0</v>
      </c>
      <c r="B14" s="13">
        <v>45722.0</v>
      </c>
      <c r="C14" s="14" t="s">
        <v>17</v>
      </c>
      <c r="D14" s="15" t="s">
        <v>11</v>
      </c>
      <c r="E14" s="16" t="s">
        <v>12</v>
      </c>
      <c r="F14" s="17">
        <v>438230.0</v>
      </c>
      <c r="G14" s="18">
        <v>833.0</v>
      </c>
      <c r="H14" s="19"/>
      <c r="I14" s="12"/>
    </row>
    <row r="15">
      <c r="A15" s="14">
        <v>10.0</v>
      </c>
      <c r="B15" s="21"/>
      <c r="C15" s="14" t="s">
        <v>15</v>
      </c>
      <c r="D15" s="15" t="s">
        <v>11</v>
      </c>
      <c r="E15" s="16" t="s">
        <v>16</v>
      </c>
      <c r="F15" s="17">
        <v>609550.0</v>
      </c>
      <c r="G15" s="18">
        <v>820.0</v>
      </c>
      <c r="H15" s="19"/>
      <c r="I15" s="12"/>
    </row>
    <row r="16">
      <c r="A16" s="14">
        <v>11.0</v>
      </c>
      <c r="B16" s="21"/>
      <c r="C16" s="14" t="s">
        <v>18</v>
      </c>
      <c r="D16" s="15" t="s">
        <v>11</v>
      </c>
      <c r="E16" s="16" t="s">
        <v>20</v>
      </c>
      <c r="F16" s="17">
        <v>481200.0</v>
      </c>
      <c r="G16" s="18">
        <v>856.0</v>
      </c>
      <c r="H16" s="19"/>
      <c r="I16" s="12"/>
    </row>
    <row r="17">
      <c r="A17" s="12">
        <v>12.0</v>
      </c>
      <c r="B17" s="20"/>
      <c r="C17" s="12" t="s">
        <v>19</v>
      </c>
      <c r="D17" s="15" t="s">
        <v>11</v>
      </c>
      <c r="E17" s="16" t="s">
        <v>20</v>
      </c>
      <c r="F17" s="17">
        <v>582268.0</v>
      </c>
      <c r="G17" s="18">
        <v>720.0</v>
      </c>
      <c r="H17" s="19"/>
      <c r="I17" s="12"/>
    </row>
    <row r="18">
      <c r="A18" s="12">
        <v>13.0</v>
      </c>
      <c r="B18" s="13">
        <v>45723.0</v>
      </c>
      <c r="C18" s="14" t="s">
        <v>17</v>
      </c>
      <c r="D18" s="15" t="s">
        <v>11</v>
      </c>
      <c r="E18" s="16" t="s">
        <v>12</v>
      </c>
      <c r="F18" s="17">
        <v>4482002.0</v>
      </c>
      <c r="G18" s="18">
        <v>804.0</v>
      </c>
      <c r="H18" s="19"/>
      <c r="I18" s="12"/>
    </row>
    <row r="19">
      <c r="A19" s="12">
        <v>14.0</v>
      </c>
      <c r="B19" s="21"/>
      <c r="C19" s="14" t="s">
        <v>15</v>
      </c>
      <c r="D19" s="16" t="s">
        <v>11</v>
      </c>
      <c r="E19" s="16" t="s">
        <v>16</v>
      </c>
      <c r="F19" s="17">
        <v>634580.0</v>
      </c>
      <c r="G19" s="18">
        <v>1806.0</v>
      </c>
      <c r="H19" s="19"/>
      <c r="I19" s="12"/>
    </row>
    <row r="20">
      <c r="A20" s="12">
        <v>15.0</v>
      </c>
      <c r="B20" s="20"/>
      <c r="C20" s="12" t="s">
        <v>19</v>
      </c>
      <c r="D20" s="15" t="s">
        <v>11</v>
      </c>
      <c r="E20" s="16" t="s">
        <v>20</v>
      </c>
      <c r="F20" s="17">
        <v>520820.0</v>
      </c>
      <c r="G20" s="18">
        <v>860.0</v>
      </c>
      <c r="H20" s="19"/>
      <c r="I20" s="12"/>
    </row>
    <row r="21">
      <c r="A21" s="22">
        <v>16.0</v>
      </c>
      <c r="B21" s="13">
        <v>45724.0</v>
      </c>
      <c r="C21" s="14" t="s">
        <v>15</v>
      </c>
      <c r="D21" s="15" t="s">
        <v>11</v>
      </c>
      <c r="E21" s="16" t="s">
        <v>16</v>
      </c>
      <c r="F21" s="17">
        <v>814032.0</v>
      </c>
      <c r="G21" s="18">
        <v>905.0</v>
      </c>
      <c r="H21" s="19"/>
      <c r="I21" s="12"/>
    </row>
    <row r="22">
      <c r="A22" s="12">
        <v>17.0</v>
      </c>
      <c r="B22" s="20"/>
      <c r="C22" s="12" t="s">
        <v>19</v>
      </c>
      <c r="D22" s="15" t="s">
        <v>11</v>
      </c>
      <c r="E22" s="16" t="s">
        <v>20</v>
      </c>
      <c r="F22" s="17">
        <v>2237088.0</v>
      </c>
      <c r="G22" s="18">
        <v>834.0</v>
      </c>
      <c r="H22" s="19"/>
      <c r="I22" s="12"/>
    </row>
    <row r="23">
      <c r="A23" s="12">
        <v>18.0</v>
      </c>
      <c r="B23" s="13">
        <v>45725.0</v>
      </c>
      <c r="C23" s="14" t="s">
        <v>15</v>
      </c>
      <c r="D23" s="15" t="s">
        <v>11</v>
      </c>
      <c r="E23" s="16" t="s">
        <v>16</v>
      </c>
      <c r="F23" s="17">
        <v>2155352.0</v>
      </c>
      <c r="G23" s="18">
        <v>1004.0</v>
      </c>
      <c r="H23" s="19"/>
      <c r="I23" s="12"/>
    </row>
    <row r="24">
      <c r="A24" s="12">
        <v>19.0</v>
      </c>
      <c r="B24" s="20"/>
      <c r="C24" s="12" t="s">
        <v>19</v>
      </c>
      <c r="D24" s="15" t="s">
        <v>11</v>
      </c>
      <c r="E24" s="16" t="s">
        <v>20</v>
      </c>
      <c r="F24" s="17">
        <v>2735300.0</v>
      </c>
      <c r="G24" s="18">
        <v>777.0</v>
      </c>
      <c r="H24" s="19"/>
      <c r="I24" s="12"/>
    </row>
    <row r="25">
      <c r="A25" s="12">
        <v>20.0</v>
      </c>
      <c r="B25" s="13">
        <v>45726.0</v>
      </c>
      <c r="C25" s="14" t="s">
        <v>15</v>
      </c>
      <c r="D25" s="15" t="s">
        <v>11</v>
      </c>
      <c r="E25" s="16" t="s">
        <v>16</v>
      </c>
      <c r="F25" s="17">
        <v>5500262.0</v>
      </c>
      <c r="G25" s="18">
        <v>1814.0</v>
      </c>
      <c r="H25" s="23"/>
      <c r="I25" s="12"/>
    </row>
    <row r="26">
      <c r="A26" s="12">
        <v>21.0</v>
      </c>
      <c r="B26" s="20"/>
      <c r="C26" s="12" t="s">
        <v>19</v>
      </c>
      <c r="D26" s="15" t="s">
        <v>11</v>
      </c>
      <c r="E26" s="16" t="s">
        <v>20</v>
      </c>
      <c r="F26" s="17">
        <v>547060.0</v>
      </c>
      <c r="G26" s="18">
        <v>1700.0</v>
      </c>
      <c r="H26" s="19"/>
      <c r="I26" s="12"/>
    </row>
    <row r="27">
      <c r="A27" s="12">
        <v>22.0</v>
      </c>
      <c r="B27" s="13">
        <v>45727.0</v>
      </c>
      <c r="C27" s="14" t="s">
        <v>15</v>
      </c>
      <c r="D27" s="15" t="s">
        <v>11</v>
      </c>
      <c r="E27" s="16" t="s">
        <v>16</v>
      </c>
      <c r="F27" s="24">
        <v>532583.0</v>
      </c>
      <c r="G27" s="25">
        <v>884.0</v>
      </c>
      <c r="H27" s="26"/>
      <c r="I27" s="12"/>
    </row>
    <row r="28">
      <c r="A28" s="12">
        <v>23.0</v>
      </c>
      <c r="B28" s="20"/>
      <c r="C28" s="12" t="s">
        <v>19</v>
      </c>
      <c r="D28" s="15" t="s">
        <v>11</v>
      </c>
      <c r="E28" s="16" t="s">
        <v>20</v>
      </c>
      <c r="F28" s="24">
        <v>2062020.0</v>
      </c>
      <c r="G28" s="25">
        <v>829.0</v>
      </c>
      <c r="H28" s="26"/>
      <c r="I28" s="12"/>
    </row>
    <row r="29">
      <c r="A29" s="12">
        <v>24.0</v>
      </c>
      <c r="B29" s="13">
        <v>45728.0</v>
      </c>
      <c r="C29" s="14" t="s">
        <v>15</v>
      </c>
      <c r="D29" s="15" t="s">
        <v>11</v>
      </c>
      <c r="E29" s="16" t="s">
        <v>16</v>
      </c>
      <c r="F29" s="24">
        <v>714735.0</v>
      </c>
      <c r="G29" s="25">
        <v>896.0</v>
      </c>
      <c r="H29" s="26"/>
      <c r="I29" s="12"/>
    </row>
    <row r="30">
      <c r="A30" s="22">
        <v>25.0</v>
      </c>
      <c r="B30" s="20"/>
      <c r="C30" s="12" t="s">
        <v>19</v>
      </c>
      <c r="D30" s="15" t="s">
        <v>11</v>
      </c>
      <c r="E30" s="16" t="s">
        <v>20</v>
      </c>
      <c r="F30" s="24">
        <v>1580223.0</v>
      </c>
      <c r="G30" s="25">
        <v>1242.0</v>
      </c>
      <c r="H30" s="26"/>
      <c r="I30" s="12"/>
    </row>
    <row r="31">
      <c r="A31" s="12">
        <v>26.0</v>
      </c>
      <c r="B31" s="13">
        <v>45729.0</v>
      </c>
      <c r="C31" s="14" t="s">
        <v>15</v>
      </c>
      <c r="D31" s="15" t="s">
        <v>11</v>
      </c>
      <c r="E31" s="16" t="s">
        <v>16</v>
      </c>
      <c r="F31" s="24">
        <v>1067180.0</v>
      </c>
      <c r="G31" s="25">
        <v>774.0</v>
      </c>
      <c r="H31" s="26"/>
      <c r="I31" s="27"/>
    </row>
    <row r="32">
      <c r="A32" s="12">
        <v>27.0</v>
      </c>
      <c r="B32" s="20"/>
      <c r="C32" s="12" t="s">
        <v>19</v>
      </c>
      <c r="D32" s="15" t="s">
        <v>11</v>
      </c>
      <c r="E32" s="16" t="s">
        <v>20</v>
      </c>
      <c r="F32" s="24">
        <v>0.0</v>
      </c>
      <c r="G32" s="25">
        <v>838.0</v>
      </c>
      <c r="H32" s="26"/>
      <c r="I32" s="27"/>
    </row>
    <row r="33">
      <c r="A33" s="12">
        <v>28.0</v>
      </c>
      <c r="B33" s="13">
        <v>45730.0</v>
      </c>
      <c r="C33" s="14" t="s">
        <v>15</v>
      </c>
      <c r="D33" s="15" t="s">
        <v>11</v>
      </c>
      <c r="E33" s="16" t="s">
        <v>16</v>
      </c>
      <c r="F33" s="24">
        <v>539916.0</v>
      </c>
      <c r="G33" s="25">
        <v>1015.0</v>
      </c>
      <c r="H33" s="26"/>
      <c r="I33" s="27"/>
    </row>
    <row r="34">
      <c r="A34" s="12">
        <v>29.0</v>
      </c>
      <c r="B34" s="20"/>
      <c r="C34" s="12" t="s">
        <v>19</v>
      </c>
      <c r="D34" s="15" t="s">
        <v>11</v>
      </c>
      <c r="E34" s="16" t="s">
        <v>20</v>
      </c>
      <c r="F34" s="24">
        <v>0.0</v>
      </c>
      <c r="G34" s="25">
        <v>768.0</v>
      </c>
      <c r="H34" s="26"/>
      <c r="I34" s="27"/>
    </row>
    <row r="35">
      <c r="A35" s="12">
        <v>30.0</v>
      </c>
      <c r="B35" s="13">
        <v>45731.0</v>
      </c>
      <c r="C35" s="14" t="s">
        <v>15</v>
      </c>
      <c r="D35" s="15" t="s">
        <v>11</v>
      </c>
      <c r="E35" s="16" t="s">
        <v>16</v>
      </c>
      <c r="F35" s="24">
        <v>0.0</v>
      </c>
      <c r="G35" s="25">
        <v>850.0</v>
      </c>
      <c r="H35" s="26"/>
      <c r="I35" s="27"/>
    </row>
    <row r="36">
      <c r="A36" s="12">
        <v>31.0</v>
      </c>
      <c r="B36" s="20"/>
      <c r="C36" s="12" t="s">
        <v>19</v>
      </c>
      <c r="D36" s="15" t="s">
        <v>11</v>
      </c>
      <c r="E36" s="16" t="s">
        <v>20</v>
      </c>
      <c r="F36" s="24">
        <v>0.0</v>
      </c>
      <c r="G36" s="25">
        <v>1325.0</v>
      </c>
      <c r="H36" s="26"/>
      <c r="I36" s="27"/>
    </row>
    <row r="37">
      <c r="A37" s="12">
        <v>32.0</v>
      </c>
      <c r="B37" s="13">
        <v>45732.0</v>
      </c>
      <c r="C37" s="14" t="s">
        <v>15</v>
      </c>
      <c r="D37" s="15" t="s">
        <v>11</v>
      </c>
      <c r="E37" s="16" t="s">
        <v>16</v>
      </c>
      <c r="F37" s="24">
        <v>0.0</v>
      </c>
      <c r="G37" s="25">
        <v>895.0</v>
      </c>
      <c r="H37" s="26"/>
      <c r="I37" s="27"/>
    </row>
    <row r="38">
      <c r="A38" s="12">
        <v>33.0</v>
      </c>
      <c r="B38" s="20"/>
      <c r="C38" s="12" t="s">
        <v>19</v>
      </c>
      <c r="D38" s="15" t="s">
        <v>11</v>
      </c>
      <c r="E38" s="16" t="s">
        <v>20</v>
      </c>
      <c r="F38" s="24">
        <v>0.0</v>
      </c>
      <c r="G38" s="25">
        <v>1280.0</v>
      </c>
      <c r="H38" s="26"/>
      <c r="I38" s="27"/>
    </row>
    <row r="39">
      <c r="A39" s="22">
        <v>34.0</v>
      </c>
      <c r="B39" s="13">
        <v>45733.0</v>
      </c>
      <c r="C39" s="14" t="s">
        <v>15</v>
      </c>
      <c r="D39" s="15" t="s">
        <v>11</v>
      </c>
      <c r="E39" s="16" t="s">
        <v>16</v>
      </c>
      <c r="F39" s="24">
        <v>1097584.0</v>
      </c>
      <c r="G39" s="25">
        <v>429.0</v>
      </c>
      <c r="H39" s="26"/>
      <c r="I39" s="27"/>
    </row>
    <row r="40">
      <c r="A40" s="12">
        <v>35.0</v>
      </c>
      <c r="B40" s="20"/>
      <c r="C40" s="12" t="s">
        <v>19</v>
      </c>
      <c r="D40" s="15" t="s">
        <v>11</v>
      </c>
      <c r="E40" s="16" t="s">
        <v>20</v>
      </c>
      <c r="F40" s="24">
        <v>145531.0</v>
      </c>
      <c r="G40" s="25">
        <v>841.0</v>
      </c>
      <c r="H40" s="26"/>
      <c r="I40" s="27"/>
    </row>
    <row r="41">
      <c r="A41" s="12">
        <v>36.0</v>
      </c>
      <c r="B41" s="13">
        <v>45734.0</v>
      </c>
      <c r="C41" s="14" t="s">
        <v>15</v>
      </c>
      <c r="D41" s="15" t="s">
        <v>11</v>
      </c>
      <c r="E41" s="16" t="s">
        <v>16</v>
      </c>
      <c r="F41" s="24">
        <v>2688976.0</v>
      </c>
      <c r="G41" s="25">
        <v>35.0</v>
      </c>
      <c r="H41" s="26"/>
      <c r="I41" s="27"/>
    </row>
    <row r="42">
      <c r="A42" s="12">
        <v>37.0</v>
      </c>
      <c r="B42" s="20"/>
      <c r="C42" s="14" t="s">
        <v>21</v>
      </c>
      <c r="D42" s="15" t="s">
        <v>11</v>
      </c>
      <c r="E42" s="16" t="s">
        <v>22</v>
      </c>
      <c r="F42" s="24">
        <v>98070.0</v>
      </c>
      <c r="G42" s="25">
        <v>33.0</v>
      </c>
      <c r="H42" s="26"/>
      <c r="I42" s="27"/>
    </row>
    <row r="43">
      <c r="A43" s="12">
        <v>38.0</v>
      </c>
      <c r="B43" s="13">
        <v>45735.0</v>
      </c>
      <c r="C43" s="14" t="s">
        <v>15</v>
      </c>
      <c r="D43" s="15" t="s">
        <v>11</v>
      </c>
      <c r="E43" s="16" t="s">
        <v>16</v>
      </c>
      <c r="F43" s="24">
        <v>616800.0</v>
      </c>
      <c r="G43" s="25">
        <v>32.0</v>
      </c>
      <c r="H43" s="26"/>
      <c r="I43" s="27"/>
    </row>
    <row r="44">
      <c r="A44" s="22">
        <v>39.0</v>
      </c>
      <c r="B44" s="20"/>
      <c r="C44" s="14" t="s">
        <v>21</v>
      </c>
      <c r="D44" s="15" t="s">
        <v>11</v>
      </c>
      <c r="E44" s="16" t="s">
        <v>22</v>
      </c>
      <c r="F44" s="24">
        <v>0.0</v>
      </c>
      <c r="G44" s="25">
        <v>55.0</v>
      </c>
      <c r="H44" s="25">
        <v>300.0</v>
      </c>
      <c r="I44" s="27"/>
    </row>
    <row r="45">
      <c r="A45" s="12">
        <v>40.0</v>
      </c>
      <c r="B45" s="13">
        <v>45736.0</v>
      </c>
      <c r="C45" s="14" t="s">
        <v>15</v>
      </c>
      <c r="D45" s="15" t="s">
        <v>11</v>
      </c>
      <c r="E45" s="16" t="s">
        <v>16</v>
      </c>
      <c r="F45" s="24">
        <v>688358.0</v>
      </c>
      <c r="G45" s="25">
        <v>33.0</v>
      </c>
      <c r="H45" s="28"/>
      <c r="I45" s="27"/>
    </row>
    <row r="46">
      <c r="A46" s="12">
        <v>41.0</v>
      </c>
      <c r="B46" s="20"/>
      <c r="C46" s="14" t="s">
        <v>21</v>
      </c>
      <c r="D46" s="15" t="s">
        <v>11</v>
      </c>
      <c r="E46" s="16" t="s">
        <v>22</v>
      </c>
      <c r="F46" s="24">
        <v>945144.0</v>
      </c>
      <c r="G46" s="25">
        <v>47.0</v>
      </c>
      <c r="H46" s="25">
        <v>0.0</v>
      </c>
      <c r="I46" s="27"/>
    </row>
    <row r="47">
      <c r="A47" s="12">
        <v>42.0</v>
      </c>
      <c r="B47" s="13">
        <v>45737.0</v>
      </c>
      <c r="C47" s="14" t="s">
        <v>15</v>
      </c>
      <c r="D47" s="15" t="s">
        <v>11</v>
      </c>
      <c r="E47" s="16" t="s">
        <v>16</v>
      </c>
      <c r="F47" s="24">
        <v>1577913.0</v>
      </c>
      <c r="G47" s="25">
        <v>45.0</v>
      </c>
      <c r="H47" s="26"/>
      <c r="I47" s="27"/>
    </row>
    <row r="48">
      <c r="A48" s="12">
        <v>43.0</v>
      </c>
      <c r="B48" s="20"/>
      <c r="C48" s="14" t="s">
        <v>21</v>
      </c>
      <c r="D48" s="15" t="s">
        <v>11</v>
      </c>
      <c r="E48" s="16" t="s">
        <v>22</v>
      </c>
      <c r="F48" s="24">
        <v>0.0</v>
      </c>
      <c r="G48" s="25">
        <v>86.0</v>
      </c>
      <c r="H48" s="25">
        <v>0.0</v>
      </c>
      <c r="I48" s="27"/>
    </row>
    <row r="49">
      <c r="A49" s="22">
        <v>44.0</v>
      </c>
      <c r="B49" s="13">
        <v>45738.0</v>
      </c>
      <c r="C49" s="14" t="s">
        <v>15</v>
      </c>
      <c r="D49" s="15" t="s">
        <v>11</v>
      </c>
      <c r="E49" s="16" t="s">
        <v>16</v>
      </c>
      <c r="F49" s="24">
        <v>0.0</v>
      </c>
      <c r="G49" s="25">
        <v>49.0</v>
      </c>
      <c r="H49" s="26"/>
      <c r="I49" s="27"/>
    </row>
    <row r="50">
      <c r="A50" s="12">
        <v>45.0</v>
      </c>
      <c r="B50" s="20"/>
      <c r="C50" s="14" t="s">
        <v>21</v>
      </c>
      <c r="D50" s="15" t="s">
        <v>11</v>
      </c>
      <c r="E50" s="16" t="s">
        <v>22</v>
      </c>
      <c r="F50" s="24">
        <v>1783673.0</v>
      </c>
      <c r="G50" s="25">
        <v>114.0</v>
      </c>
      <c r="H50" s="25">
        <v>1.0</v>
      </c>
      <c r="I50" s="27"/>
    </row>
    <row r="51">
      <c r="A51" s="12">
        <v>46.0</v>
      </c>
      <c r="B51" s="13">
        <v>45739.0</v>
      </c>
      <c r="C51" s="14" t="s">
        <v>15</v>
      </c>
      <c r="D51" s="15" t="s">
        <v>11</v>
      </c>
      <c r="E51" s="16" t="s">
        <v>16</v>
      </c>
      <c r="F51" s="24">
        <v>3600927.0</v>
      </c>
      <c r="G51" s="25">
        <v>75.0</v>
      </c>
      <c r="H51" s="26"/>
      <c r="I51" s="27"/>
    </row>
    <row r="52">
      <c r="A52" s="14">
        <v>47.0</v>
      </c>
      <c r="B52" s="20"/>
      <c r="C52" s="14" t="s">
        <v>21</v>
      </c>
      <c r="D52" s="15" t="s">
        <v>11</v>
      </c>
      <c r="E52" s="16" t="s">
        <v>22</v>
      </c>
      <c r="F52" s="24">
        <v>506824.0</v>
      </c>
      <c r="G52" s="25">
        <v>175.0</v>
      </c>
      <c r="H52" s="25">
        <v>228.0</v>
      </c>
      <c r="I52" s="27"/>
    </row>
    <row r="53">
      <c r="A53" s="14">
        <v>48.0</v>
      </c>
      <c r="B53" s="13">
        <v>45740.0</v>
      </c>
      <c r="C53" s="14" t="s">
        <v>15</v>
      </c>
      <c r="D53" s="15" t="s">
        <v>11</v>
      </c>
      <c r="E53" s="16" t="s">
        <v>16</v>
      </c>
      <c r="F53" s="24">
        <v>3435714.0</v>
      </c>
      <c r="G53" s="25">
        <v>65.0</v>
      </c>
      <c r="H53" s="26"/>
      <c r="I53" s="27"/>
    </row>
    <row r="54">
      <c r="A54" s="14">
        <v>49.0</v>
      </c>
      <c r="B54" s="20"/>
      <c r="C54" s="14" t="s">
        <v>21</v>
      </c>
      <c r="D54" s="15" t="s">
        <v>11</v>
      </c>
      <c r="E54" s="16" t="s">
        <v>22</v>
      </c>
      <c r="F54" s="24">
        <v>509324.0</v>
      </c>
      <c r="G54" s="25">
        <v>164.0</v>
      </c>
      <c r="H54" s="25">
        <v>0.0</v>
      </c>
      <c r="I54" s="27"/>
    </row>
    <row r="55">
      <c r="A55" s="14">
        <v>50.0</v>
      </c>
      <c r="B55" s="29">
        <v>45741.0</v>
      </c>
      <c r="C55" s="14" t="s">
        <v>15</v>
      </c>
      <c r="D55" s="15" t="s">
        <v>11</v>
      </c>
      <c r="E55" s="16" t="s">
        <v>16</v>
      </c>
      <c r="F55" s="24">
        <v>578150.0</v>
      </c>
      <c r="G55" s="25">
        <v>70.0</v>
      </c>
      <c r="H55" s="26"/>
      <c r="I55" s="27"/>
    </row>
    <row r="56">
      <c r="A56" s="30">
        <v>51.0</v>
      </c>
      <c r="B56" s="21"/>
      <c r="C56" s="14" t="s">
        <v>18</v>
      </c>
      <c r="D56" s="15" t="s">
        <v>11</v>
      </c>
      <c r="E56" s="16" t="s">
        <v>14</v>
      </c>
      <c r="F56" s="24">
        <v>489300.0</v>
      </c>
      <c r="G56" s="25">
        <v>45.0</v>
      </c>
      <c r="H56" s="26"/>
      <c r="I56" s="27"/>
    </row>
    <row r="57">
      <c r="A57" s="14">
        <v>52.0</v>
      </c>
      <c r="B57" s="20"/>
      <c r="C57" s="14" t="s">
        <v>21</v>
      </c>
      <c r="D57" s="16" t="s">
        <v>11</v>
      </c>
      <c r="E57" s="16" t="s">
        <v>22</v>
      </c>
      <c r="F57" s="24">
        <v>2084496.0</v>
      </c>
      <c r="G57" s="25">
        <v>92.0</v>
      </c>
      <c r="H57" s="25" t="s">
        <v>23</v>
      </c>
      <c r="I57" s="27"/>
    </row>
    <row r="58">
      <c r="A58" s="14">
        <v>53.0</v>
      </c>
      <c r="B58" s="29">
        <v>45742.0</v>
      </c>
      <c r="C58" s="14" t="s">
        <v>15</v>
      </c>
      <c r="D58" s="15" t="s">
        <v>11</v>
      </c>
      <c r="E58" s="16" t="s">
        <v>16</v>
      </c>
      <c r="F58" s="24">
        <v>507824.0</v>
      </c>
      <c r="G58" s="25">
        <v>63.0</v>
      </c>
      <c r="H58" s="28"/>
      <c r="I58" s="27"/>
    </row>
    <row r="59">
      <c r="A59" s="14">
        <v>54.0</v>
      </c>
      <c r="B59" s="21"/>
      <c r="C59" s="14" t="s">
        <v>18</v>
      </c>
      <c r="D59" s="15" t="s">
        <v>11</v>
      </c>
      <c r="E59" s="16" t="s">
        <v>22</v>
      </c>
      <c r="F59" s="24">
        <v>408654.0</v>
      </c>
      <c r="G59" s="25">
        <v>61.0</v>
      </c>
      <c r="H59" s="25" t="s">
        <v>24</v>
      </c>
      <c r="I59" s="27"/>
    </row>
    <row r="60">
      <c r="A60" s="14">
        <v>55.0</v>
      </c>
      <c r="B60" s="20"/>
      <c r="C60" s="14" t="s">
        <v>21</v>
      </c>
      <c r="D60" s="16" t="s">
        <v>11</v>
      </c>
      <c r="E60" s="16" t="s">
        <v>22</v>
      </c>
      <c r="F60" s="24">
        <v>0.0</v>
      </c>
      <c r="G60" s="25">
        <v>211.0</v>
      </c>
      <c r="H60" s="25">
        <v>144.0</v>
      </c>
      <c r="I60" s="27"/>
    </row>
    <row r="61">
      <c r="A61" s="14">
        <v>56.0</v>
      </c>
      <c r="B61" s="29">
        <v>45743.0</v>
      </c>
      <c r="C61" s="14" t="s">
        <v>15</v>
      </c>
      <c r="D61" s="15" t="s">
        <v>11</v>
      </c>
      <c r="E61" s="16" t="s">
        <v>22</v>
      </c>
      <c r="F61" s="24">
        <v>547775.0</v>
      </c>
      <c r="G61" s="25">
        <v>93.0</v>
      </c>
      <c r="H61" s="25">
        <v>174.0</v>
      </c>
      <c r="I61" s="27"/>
    </row>
    <row r="62">
      <c r="A62" s="14">
        <v>57.0</v>
      </c>
      <c r="B62" s="21"/>
      <c r="C62" s="14" t="s">
        <v>18</v>
      </c>
      <c r="D62" s="15" t="s">
        <v>11</v>
      </c>
      <c r="E62" s="16" t="s">
        <v>22</v>
      </c>
      <c r="F62" s="24">
        <v>0.0</v>
      </c>
      <c r="G62" s="25">
        <v>70.0</v>
      </c>
      <c r="H62" s="25">
        <v>60.0</v>
      </c>
      <c r="I62" s="27"/>
    </row>
    <row r="63">
      <c r="A63" s="14">
        <v>58.0</v>
      </c>
      <c r="B63" s="20"/>
      <c r="C63" s="14" t="s">
        <v>21</v>
      </c>
      <c r="D63" s="16" t="s">
        <v>11</v>
      </c>
      <c r="E63" s="16" t="s">
        <v>22</v>
      </c>
      <c r="F63" s="24">
        <v>0.0</v>
      </c>
      <c r="G63" s="25">
        <v>197.0</v>
      </c>
      <c r="H63" s="25" t="s">
        <v>25</v>
      </c>
      <c r="I63" s="27"/>
    </row>
    <row r="64">
      <c r="A64" s="14">
        <v>59.0</v>
      </c>
      <c r="B64" s="29">
        <v>45744.0</v>
      </c>
      <c r="C64" s="14" t="s">
        <v>15</v>
      </c>
      <c r="D64" s="15" t="s">
        <v>11</v>
      </c>
      <c r="E64" s="16" t="s">
        <v>22</v>
      </c>
      <c r="F64" s="24">
        <v>547060.0</v>
      </c>
      <c r="G64" s="25">
        <v>171.0</v>
      </c>
      <c r="H64" s="25" t="s">
        <v>26</v>
      </c>
      <c r="I64" s="27"/>
    </row>
    <row r="65">
      <c r="A65" s="14">
        <v>60.0</v>
      </c>
      <c r="B65" s="21"/>
      <c r="C65" s="14" t="s">
        <v>18</v>
      </c>
      <c r="D65" s="15" t="s">
        <v>11</v>
      </c>
      <c r="E65" s="16" t="s">
        <v>22</v>
      </c>
      <c r="F65" s="24">
        <v>0.0</v>
      </c>
      <c r="G65" s="25">
        <v>124.0</v>
      </c>
      <c r="H65" s="25">
        <v>843.0</v>
      </c>
      <c r="I65" s="27"/>
    </row>
    <row r="66">
      <c r="A66" s="14">
        <v>61.0</v>
      </c>
      <c r="B66" s="20"/>
      <c r="C66" s="14" t="s">
        <v>13</v>
      </c>
      <c r="D66" s="15" t="s">
        <v>11</v>
      </c>
      <c r="E66" s="16" t="s">
        <v>14</v>
      </c>
      <c r="F66" s="31"/>
      <c r="G66" s="19"/>
      <c r="H66" s="19"/>
      <c r="I66" s="12"/>
    </row>
    <row r="67">
      <c r="A67" s="14">
        <v>62.0</v>
      </c>
      <c r="B67" s="32">
        <v>45751.0</v>
      </c>
      <c r="C67" s="14" t="s">
        <v>21</v>
      </c>
      <c r="D67" s="15" t="s">
        <v>11</v>
      </c>
      <c r="E67" s="16" t="s">
        <v>22</v>
      </c>
      <c r="F67" s="24">
        <v>494466.0</v>
      </c>
      <c r="G67" s="25">
        <v>181.0</v>
      </c>
      <c r="H67" s="19"/>
      <c r="I67" s="12"/>
    </row>
    <row r="68">
      <c r="A68" s="14">
        <v>63.0</v>
      </c>
      <c r="B68" s="20"/>
      <c r="C68" s="14" t="s">
        <v>27</v>
      </c>
      <c r="D68" s="15" t="s">
        <v>11</v>
      </c>
      <c r="E68" s="16" t="s">
        <v>22</v>
      </c>
      <c r="F68" s="24">
        <v>1405629.0</v>
      </c>
      <c r="G68" s="25">
        <v>255.0</v>
      </c>
      <c r="H68" s="19"/>
      <c r="I68" s="12"/>
    </row>
    <row r="69">
      <c r="A69" s="14">
        <v>64.0</v>
      </c>
      <c r="B69" s="13">
        <v>45752.0</v>
      </c>
      <c r="C69" s="33" t="s">
        <v>10</v>
      </c>
      <c r="D69" s="34" t="s">
        <v>11</v>
      </c>
      <c r="E69" s="35" t="s">
        <v>22</v>
      </c>
      <c r="F69" s="24">
        <v>571424.0</v>
      </c>
      <c r="G69" s="25">
        <v>122.0</v>
      </c>
      <c r="H69" s="19"/>
      <c r="I69" s="12"/>
    </row>
    <row r="70">
      <c r="B70" s="36"/>
      <c r="C70" s="37"/>
      <c r="D70" s="37"/>
      <c r="E70" s="38"/>
      <c r="F70" s="39">
        <f>SUM(F6:F69)</f>
        <v>67781795</v>
      </c>
      <c r="G70" s="2"/>
      <c r="H70" s="2"/>
    </row>
    <row r="71">
      <c r="F71" s="2"/>
      <c r="G71" s="2"/>
      <c r="H71" s="2"/>
    </row>
    <row r="72">
      <c r="F72" s="2"/>
      <c r="G72" s="2"/>
      <c r="H72" s="2"/>
    </row>
    <row r="73">
      <c r="F73" s="2"/>
      <c r="G73" s="2"/>
      <c r="H73" s="2"/>
    </row>
    <row r="74">
      <c r="F74" s="2"/>
      <c r="G74" s="2"/>
      <c r="H74" s="2"/>
    </row>
    <row r="75">
      <c r="F75" s="2"/>
      <c r="G75" s="2"/>
      <c r="H75" s="2"/>
    </row>
    <row r="76">
      <c r="F76" s="2"/>
      <c r="G76" s="2"/>
      <c r="H76" s="2"/>
    </row>
    <row r="77">
      <c r="F77" s="2"/>
      <c r="G77" s="2"/>
      <c r="H77" s="2"/>
    </row>
    <row r="78">
      <c r="F78" s="2"/>
      <c r="G78" s="2"/>
      <c r="H78" s="2"/>
    </row>
    <row r="79">
      <c r="F79" s="2"/>
      <c r="G79" s="2"/>
      <c r="H79" s="2"/>
    </row>
    <row r="80">
      <c r="F80" s="2"/>
      <c r="G80" s="2"/>
      <c r="H80" s="2"/>
    </row>
    <row r="81">
      <c r="F81" s="2"/>
      <c r="G81" s="2"/>
      <c r="H81" s="2"/>
    </row>
    <row r="82">
      <c r="F82" s="2"/>
      <c r="G82" s="2"/>
      <c r="H82" s="2"/>
    </row>
    <row r="83">
      <c r="F83" s="2"/>
      <c r="G83" s="2"/>
      <c r="H83" s="2"/>
    </row>
    <row r="84">
      <c r="F84" s="2"/>
      <c r="G84" s="2"/>
      <c r="H84" s="2"/>
    </row>
    <row r="85">
      <c r="F85" s="2"/>
      <c r="G85" s="2"/>
      <c r="H85" s="2"/>
    </row>
    <row r="86">
      <c r="F86" s="2"/>
      <c r="G86" s="2"/>
      <c r="H86" s="2"/>
    </row>
    <row r="87">
      <c r="F87" s="2"/>
      <c r="G87" s="2"/>
      <c r="H87" s="2"/>
    </row>
    <row r="88">
      <c r="F88" s="2"/>
      <c r="G88" s="2"/>
      <c r="H88" s="2"/>
    </row>
    <row r="89">
      <c r="F89" s="2"/>
      <c r="G89" s="2"/>
      <c r="H89" s="2"/>
    </row>
    <row r="90">
      <c r="F90" s="2"/>
      <c r="G90" s="2"/>
      <c r="H90" s="2"/>
    </row>
    <row r="91">
      <c r="F91" s="2"/>
      <c r="G91" s="2"/>
      <c r="H91" s="2"/>
    </row>
    <row r="92">
      <c r="F92" s="2"/>
      <c r="G92" s="2"/>
      <c r="H92" s="2"/>
    </row>
    <row r="93">
      <c r="F93" s="2"/>
      <c r="G93" s="2"/>
      <c r="H93" s="2"/>
    </row>
    <row r="94">
      <c r="F94" s="2"/>
      <c r="G94" s="2"/>
      <c r="H94" s="2"/>
    </row>
    <row r="95">
      <c r="F95" s="2"/>
      <c r="G95" s="2"/>
      <c r="H95" s="2"/>
    </row>
    <row r="96">
      <c r="F96" s="2"/>
      <c r="G96" s="2"/>
      <c r="H96" s="2"/>
    </row>
    <row r="97">
      <c r="F97" s="2"/>
      <c r="G97" s="2"/>
      <c r="H97" s="2"/>
    </row>
    <row r="98">
      <c r="F98" s="2"/>
      <c r="G98" s="2"/>
      <c r="H98" s="2"/>
    </row>
    <row r="99">
      <c r="F99" s="2"/>
      <c r="G99" s="2"/>
      <c r="H99" s="2"/>
    </row>
    <row r="100">
      <c r="F100" s="2"/>
      <c r="G100" s="2"/>
      <c r="H100" s="2"/>
    </row>
    <row r="101">
      <c r="F101" s="2"/>
      <c r="G101" s="2"/>
      <c r="H101" s="2"/>
    </row>
    <row r="102">
      <c r="F102" s="2"/>
      <c r="G102" s="2"/>
      <c r="H102" s="2"/>
    </row>
    <row r="103">
      <c r="F103" s="2"/>
      <c r="G103" s="2"/>
      <c r="H103" s="2"/>
    </row>
    <row r="104">
      <c r="F104" s="2"/>
      <c r="G104" s="2"/>
      <c r="H104" s="2"/>
    </row>
    <row r="105">
      <c r="F105" s="2"/>
      <c r="G105" s="2"/>
      <c r="H105" s="2"/>
    </row>
    <row r="106">
      <c r="F106" s="2"/>
      <c r="G106" s="2"/>
      <c r="H106" s="2"/>
    </row>
    <row r="107">
      <c r="F107" s="2"/>
      <c r="G107" s="2"/>
      <c r="H107" s="2"/>
    </row>
    <row r="108">
      <c r="F108" s="2"/>
      <c r="G108" s="2"/>
      <c r="H108" s="2"/>
    </row>
    <row r="109">
      <c r="F109" s="2"/>
      <c r="G109" s="2"/>
      <c r="H109" s="2"/>
    </row>
    <row r="110">
      <c r="F110" s="2"/>
      <c r="G110" s="2"/>
      <c r="H110" s="2"/>
    </row>
    <row r="111">
      <c r="F111" s="2"/>
      <c r="G111" s="2"/>
      <c r="H111" s="2"/>
    </row>
    <row r="112">
      <c r="F112" s="2"/>
      <c r="G112" s="2"/>
      <c r="H112" s="2"/>
    </row>
    <row r="113">
      <c r="F113" s="2"/>
      <c r="G113" s="2"/>
      <c r="H113" s="2"/>
    </row>
    <row r="114">
      <c r="F114" s="2"/>
      <c r="G114" s="2"/>
      <c r="H114" s="2"/>
    </row>
    <row r="115">
      <c r="F115" s="2"/>
      <c r="G115" s="2"/>
      <c r="H115" s="2"/>
    </row>
    <row r="116">
      <c r="F116" s="2"/>
      <c r="G116" s="2"/>
      <c r="H116" s="2"/>
    </row>
    <row r="117">
      <c r="F117" s="2"/>
      <c r="G117" s="2"/>
      <c r="H117" s="2"/>
    </row>
    <row r="118">
      <c r="F118" s="2"/>
      <c r="G118" s="2"/>
      <c r="H118" s="2"/>
    </row>
    <row r="119">
      <c r="F119" s="2"/>
      <c r="G119" s="2"/>
      <c r="H119" s="2"/>
    </row>
    <row r="120">
      <c r="F120" s="2"/>
      <c r="G120" s="2"/>
      <c r="H120" s="2"/>
    </row>
    <row r="121">
      <c r="F121" s="2"/>
      <c r="G121" s="2"/>
      <c r="H121" s="2"/>
    </row>
    <row r="122">
      <c r="F122" s="2"/>
      <c r="G122" s="2"/>
      <c r="H122" s="2"/>
    </row>
    <row r="123">
      <c r="F123" s="2"/>
      <c r="G123" s="2"/>
      <c r="H123" s="2"/>
    </row>
    <row r="124">
      <c r="F124" s="2"/>
      <c r="G124" s="2"/>
      <c r="H124" s="2"/>
    </row>
    <row r="125">
      <c r="F125" s="2"/>
      <c r="G125" s="2"/>
      <c r="H125" s="2"/>
    </row>
    <row r="126">
      <c r="F126" s="2"/>
      <c r="G126" s="2"/>
      <c r="H126" s="2"/>
    </row>
    <row r="127">
      <c r="F127" s="2"/>
      <c r="G127" s="2"/>
      <c r="H127" s="2"/>
    </row>
    <row r="128">
      <c r="F128" s="2"/>
      <c r="G128" s="2"/>
      <c r="H128" s="2"/>
    </row>
    <row r="129">
      <c r="F129" s="2"/>
      <c r="G129" s="2"/>
      <c r="H129" s="2"/>
    </row>
    <row r="130">
      <c r="F130" s="2"/>
      <c r="G130" s="2"/>
      <c r="H130" s="2"/>
    </row>
    <row r="131">
      <c r="F131" s="2"/>
      <c r="G131" s="2"/>
      <c r="H131" s="2"/>
    </row>
    <row r="132">
      <c r="F132" s="2"/>
      <c r="G132" s="2"/>
      <c r="H132" s="2"/>
    </row>
    <row r="133">
      <c r="F133" s="2"/>
      <c r="G133" s="2"/>
      <c r="H133" s="2"/>
    </row>
    <row r="134">
      <c r="F134" s="2"/>
      <c r="G134" s="2"/>
      <c r="H134" s="2"/>
    </row>
    <row r="135">
      <c r="F135" s="2"/>
      <c r="G135" s="2"/>
      <c r="H135" s="2"/>
    </row>
    <row r="136">
      <c r="F136" s="2"/>
      <c r="G136" s="2"/>
      <c r="H136" s="2"/>
    </row>
    <row r="137">
      <c r="F137" s="2"/>
      <c r="G137" s="2"/>
      <c r="H137" s="2"/>
    </row>
    <row r="138">
      <c r="F138" s="2"/>
      <c r="G138" s="2"/>
      <c r="H138" s="2"/>
    </row>
    <row r="139">
      <c r="F139" s="2"/>
      <c r="G139" s="2"/>
      <c r="H139" s="2"/>
    </row>
    <row r="140">
      <c r="F140" s="2"/>
      <c r="G140" s="2"/>
      <c r="H140" s="2"/>
    </row>
    <row r="141">
      <c r="F141" s="2"/>
      <c r="G141" s="2"/>
      <c r="H141" s="2"/>
    </row>
    <row r="142">
      <c r="F142" s="2"/>
      <c r="G142" s="2"/>
      <c r="H142" s="2"/>
    </row>
    <row r="143">
      <c r="F143" s="2"/>
      <c r="G143" s="2"/>
      <c r="H143" s="2"/>
    </row>
    <row r="144">
      <c r="F144" s="2"/>
      <c r="G144" s="2"/>
      <c r="H144" s="2"/>
    </row>
    <row r="145">
      <c r="F145" s="2"/>
      <c r="G145" s="2"/>
      <c r="H145" s="2"/>
    </row>
    <row r="146">
      <c r="F146" s="2"/>
      <c r="G146" s="2"/>
      <c r="H146" s="2"/>
    </row>
    <row r="147">
      <c r="F147" s="2"/>
      <c r="G147" s="2"/>
      <c r="H147" s="2"/>
    </row>
    <row r="148">
      <c r="F148" s="2"/>
      <c r="G148" s="2"/>
      <c r="H148" s="2"/>
    </row>
    <row r="149">
      <c r="F149" s="2"/>
      <c r="G149" s="2"/>
      <c r="H149" s="2"/>
    </row>
    <row r="150">
      <c r="F150" s="2"/>
      <c r="G150" s="2"/>
      <c r="H150" s="2"/>
    </row>
    <row r="151">
      <c r="F151" s="2"/>
      <c r="G151" s="2"/>
      <c r="H151" s="2"/>
    </row>
    <row r="152">
      <c r="F152" s="2"/>
      <c r="G152" s="2"/>
      <c r="H152" s="2"/>
    </row>
    <row r="153">
      <c r="F153" s="2"/>
      <c r="G153" s="2"/>
      <c r="H153" s="2"/>
    </row>
    <row r="154">
      <c r="F154" s="2"/>
      <c r="G154" s="2"/>
      <c r="H154" s="2"/>
    </row>
    <row r="155">
      <c r="F155" s="2"/>
      <c r="G155" s="2"/>
      <c r="H155" s="2"/>
    </row>
    <row r="156">
      <c r="F156" s="2"/>
      <c r="G156" s="2"/>
      <c r="H156" s="2"/>
    </row>
    <row r="157">
      <c r="F157" s="2"/>
      <c r="G157" s="2"/>
      <c r="H157" s="2"/>
    </row>
    <row r="158">
      <c r="F158" s="2"/>
      <c r="G158" s="2"/>
      <c r="H158" s="2"/>
    </row>
    <row r="159">
      <c r="F159" s="2"/>
      <c r="G159" s="2"/>
      <c r="H159" s="2"/>
    </row>
    <row r="160">
      <c r="F160" s="2"/>
      <c r="G160" s="2"/>
      <c r="H160" s="2"/>
    </row>
    <row r="161">
      <c r="F161" s="2"/>
      <c r="G161" s="2"/>
      <c r="H161" s="2"/>
    </row>
    <row r="162">
      <c r="F162" s="2"/>
      <c r="G162" s="2"/>
      <c r="H162" s="2"/>
    </row>
    <row r="163">
      <c r="F163" s="2"/>
      <c r="G163" s="2"/>
      <c r="H163" s="2"/>
    </row>
    <row r="164">
      <c r="F164" s="2"/>
      <c r="G164" s="2"/>
      <c r="H164" s="2"/>
    </row>
    <row r="165">
      <c r="F165" s="2"/>
      <c r="G165" s="2"/>
      <c r="H165" s="2"/>
    </row>
    <row r="166">
      <c r="F166" s="2"/>
      <c r="G166" s="2"/>
      <c r="H166" s="2"/>
    </row>
    <row r="167">
      <c r="F167" s="2"/>
      <c r="G167" s="2"/>
      <c r="H167" s="2"/>
    </row>
    <row r="168">
      <c r="F168" s="2"/>
      <c r="G168" s="2"/>
      <c r="H168" s="2"/>
    </row>
    <row r="169">
      <c r="F169" s="2"/>
      <c r="G169" s="2"/>
      <c r="H169" s="2"/>
    </row>
    <row r="170">
      <c r="F170" s="2"/>
      <c r="G170" s="2"/>
      <c r="H170" s="2"/>
    </row>
    <row r="171">
      <c r="F171" s="2"/>
      <c r="G171" s="2"/>
      <c r="H171" s="2"/>
    </row>
    <row r="172">
      <c r="F172" s="2"/>
      <c r="G172" s="2"/>
      <c r="H172" s="2"/>
    </row>
    <row r="173">
      <c r="F173" s="2"/>
      <c r="G173" s="2"/>
      <c r="H173" s="2"/>
    </row>
    <row r="174">
      <c r="F174" s="2"/>
      <c r="G174" s="2"/>
      <c r="H174" s="2"/>
    </row>
    <row r="175">
      <c r="F175" s="2"/>
      <c r="G175" s="2"/>
      <c r="H175" s="2"/>
    </row>
    <row r="176">
      <c r="F176" s="2"/>
      <c r="G176" s="2"/>
      <c r="H176" s="2"/>
    </row>
    <row r="177">
      <c r="F177" s="2"/>
      <c r="G177" s="2"/>
      <c r="H177" s="2"/>
    </row>
    <row r="178">
      <c r="F178" s="2"/>
      <c r="G178" s="2"/>
      <c r="H178" s="2"/>
    </row>
    <row r="179">
      <c r="F179" s="2"/>
      <c r="G179" s="2"/>
      <c r="H179" s="2"/>
    </row>
    <row r="180">
      <c r="F180" s="2"/>
      <c r="G180" s="2"/>
      <c r="H180" s="2"/>
    </row>
    <row r="181">
      <c r="F181" s="2"/>
      <c r="G181" s="2"/>
      <c r="H181" s="2"/>
    </row>
    <row r="182">
      <c r="F182" s="2"/>
      <c r="G182" s="2"/>
      <c r="H182" s="2"/>
    </row>
    <row r="183">
      <c r="F183" s="2"/>
      <c r="G183" s="2"/>
      <c r="H183" s="2"/>
    </row>
    <row r="184">
      <c r="F184" s="2"/>
      <c r="G184" s="2"/>
      <c r="H184" s="2"/>
    </row>
    <row r="185">
      <c r="F185" s="2"/>
      <c r="G185" s="2"/>
      <c r="H185" s="2"/>
    </row>
    <row r="186">
      <c r="F186" s="2"/>
      <c r="G186" s="2"/>
      <c r="H186" s="2"/>
    </row>
    <row r="187">
      <c r="F187" s="2"/>
      <c r="G187" s="2"/>
      <c r="H187" s="2"/>
    </row>
    <row r="188">
      <c r="F188" s="2"/>
      <c r="G188" s="2"/>
      <c r="H188" s="2"/>
    </row>
    <row r="189">
      <c r="F189" s="2"/>
      <c r="G189" s="2"/>
      <c r="H189" s="2"/>
    </row>
    <row r="190">
      <c r="F190" s="2"/>
      <c r="G190" s="2"/>
      <c r="H190" s="2"/>
    </row>
    <row r="191">
      <c r="F191" s="2"/>
      <c r="G191" s="2"/>
      <c r="H191" s="2"/>
    </row>
    <row r="192">
      <c r="F192" s="2"/>
      <c r="G192" s="2"/>
      <c r="H192" s="2"/>
    </row>
    <row r="193">
      <c r="F193" s="2"/>
      <c r="G193" s="2"/>
      <c r="H193" s="2"/>
    </row>
    <row r="194">
      <c r="F194" s="2"/>
      <c r="G194" s="2"/>
      <c r="H194" s="2"/>
    </row>
    <row r="195">
      <c r="F195" s="2"/>
      <c r="G195" s="2"/>
      <c r="H195" s="2"/>
    </row>
    <row r="196">
      <c r="F196" s="2"/>
      <c r="G196" s="2"/>
      <c r="H196" s="2"/>
    </row>
    <row r="197">
      <c r="F197" s="2"/>
      <c r="G197" s="2"/>
      <c r="H197" s="2"/>
    </row>
    <row r="198">
      <c r="F198" s="2"/>
      <c r="G198" s="2"/>
      <c r="H198" s="2"/>
    </row>
    <row r="199">
      <c r="F199" s="2"/>
      <c r="G199" s="2"/>
      <c r="H199" s="2"/>
    </row>
    <row r="200">
      <c r="F200" s="2"/>
      <c r="G200" s="2"/>
      <c r="H200" s="2"/>
    </row>
    <row r="201">
      <c r="F201" s="2"/>
      <c r="G201" s="2"/>
      <c r="H201" s="2"/>
    </row>
    <row r="202">
      <c r="F202" s="2"/>
      <c r="G202" s="2"/>
      <c r="H202" s="2"/>
    </row>
    <row r="203">
      <c r="F203" s="2"/>
      <c r="G203" s="2"/>
      <c r="H203" s="2"/>
    </row>
    <row r="204">
      <c r="F204" s="2"/>
      <c r="G204" s="2"/>
      <c r="H204" s="2"/>
    </row>
    <row r="205">
      <c r="F205" s="2"/>
      <c r="G205" s="2"/>
      <c r="H205" s="2"/>
    </row>
    <row r="206">
      <c r="F206" s="2"/>
      <c r="G206" s="2"/>
      <c r="H206" s="2"/>
    </row>
    <row r="207">
      <c r="F207" s="2"/>
      <c r="G207" s="2"/>
      <c r="H207" s="2"/>
    </row>
    <row r="208">
      <c r="F208" s="2"/>
      <c r="G208" s="2"/>
      <c r="H208" s="2"/>
    </row>
    <row r="209">
      <c r="F209" s="2"/>
      <c r="G209" s="2"/>
      <c r="H209" s="2"/>
    </row>
    <row r="210">
      <c r="F210" s="2"/>
      <c r="G210" s="2"/>
      <c r="H210" s="2"/>
    </row>
    <row r="211">
      <c r="F211" s="2"/>
      <c r="G211" s="2"/>
      <c r="H211" s="2"/>
    </row>
    <row r="212">
      <c r="F212" s="2"/>
      <c r="G212" s="2"/>
      <c r="H212" s="2"/>
    </row>
    <row r="213">
      <c r="F213" s="2"/>
      <c r="G213" s="2"/>
      <c r="H213" s="2"/>
    </row>
    <row r="214">
      <c r="F214" s="2"/>
      <c r="G214" s="2"/>
      <c r="H214" s="2"/>
    </row>
    <row r="215">
      <c r="F215" s="2"/>
      <c r="G215" s="2"/>
      <c r="H215" s="2"/>
    </row>
    <row r="216">
      <c r="F216" s="2"/>
      <c r="G216" s="2"/>
      <c r="H216" s="2"/>
    </row>
    <row r="217">
      <c r="F217" s="2"/>
      <c r="G217" s="2"/>
      <c r="H217" s="2"/>
    </row>
    <row r="218">
      <c r="F218" s="2"/>
      <c r="G218" s="2"/>
      <c r="H218" s="2"/>
    </row>
    <row r="219">
      <c r="F219" s="2"/>
      <c r="G219" s="2"/>
      <c r="H219" s="2"/>
    </row>
    <row r="220">
      <c r="F220" s="2"/>
      <c r="G220" s="2"/>
      <c r="H220" s="2"/>
    </row>
    <row r="221">
      <c r="F221" s="2"/>
      <c r="G221" s="2"/>
      <c r="H221" s="2"/>
    </row>
    <row r="222">
      <c r="F222" s="2"/>
      <c r="G222" s="2"/>
      <c r="H222" s="2"/>
    </row>
    <row r="223">
      <c r="F223" s="2"/>
      <c r="G223" s="2"/>
      <c r="H223" s="2"/>
    </row>
    <row r="224">
      <c r="F224" s="2"/>
      <c r="G224" s="2"/>
      <c r="H224" s="2"/>
    </row>
    <row r="225">
      <c r="F225" s="2"/>
      <c r="G225" s="2"/>
      <c r="H225" s="2"/>
    </row>
    <row r="226">
      <c r="F226" s="2"/>
      <c r="G226" s="2"/>
      <c r="H226" s="2"/>
    </row>
    <row r="227">
      <c r="F227" s="2"/>
      <c r="G227" s="2"/>
      <c r="H227" s="2"/>
    </row>
    <row r="228">
      <c r="F228" s="2"/>
      <c r="G228" s="2"/>
      <c r="H228" s="2"/>
    </row>
    <row r="229">
      <c r="F229" s="2"/>
      <c r="G229" s="2"/>
      <c r="H229" s="2"/>
    </row>
    <row r="230">
      <c r="F230" s="2"/>
      <c r="G230" s="2"/>
      <c r="H230" s="2"/>
    </row>
    <row r="231">
      <c r="F231" s="2"/>
      <c r="G231" s="2"/>
      <c r="H231" s="2"/>
    </row>
    <row r="232">
      <c r="F232" s="2"/>
      <c r="G232" s="2"/>
      <c r="H232" s="2"/>
    </row>
    <row r="233">
      <c r="F233" s="2"/>
      <c r="G233" s="2"/>
      <c r="H233" s="2"/>
    </row>
    <row r="234">
      <c r="F234" s="2"/>
      <c r="G234" s="2"/>
      <c r="H234" s="2"/>
    </row>
    <row r="235">
      <c r="F235" s="2"/>
      <c r="G235" s="2"/>
      <c r="H235" s="2"/>
    </row>
    <row r="236">
      <c r="F236" s="2"/>
      <c r="G236" s="2"/>
      <c r="H236" s="2"/>
    </row>
    <row r="237">
      <c r="F237" s="2"/>
      <c r="G237" s="2"/>
      <c r="H237" s="2"/>
    </row>
    <row r="238">
      <c r="F238" s="2"/>
      <c r="G238" s="2"/>
      <c r="H238" s="2"/>
    </row>
    <row r="239">
      <c r="F239" s="2"/>
      <c r="G239" s="2"/>
      <c r="H239" s="2"/>
    </row>
    <row r="240">
      <c r="F240" s="2"/>
      <c r="G240" s="2"/>
      <c r="H240" s="2"/>
    </row>
    <row r="241">
      <c r="F241" s="2"/>
      <c r="G241" s="2"/>
      <c r="H241" s="2"/>
    </row>
    <row r="242">
      <c r="F242" s="2"/>
      <c r="G242" s="2"/>
      <c r="H242" s="2"/>
    </row>
    <row r="243">
      <c r="F243" s="2"/>
      <c r="G243" s="2"/>
      <c r="H243" s="2"/>
    </row>
    <row r="244">
      <c r="F244" s="2"/>
      <c r="G244" s="2"/>
      <c r="H244" s="2"/>
    </row>
    <row r="245">
      <c r="F245" s="2"/>
      <c r="G245" s="2"/>
      <c r="H245" s="2"/>
    </row>
    <row r="246">
      <c r="F246" s="2"/>
      <c r="G246" s="2"/>
      <c r="H246" s="2"/>
    </row>
    <row r="247">
      <c r="F247" s="2"/>
      <c r="G247" s="2"/>
      <c r="H247" s="2"/>
    </row>
    <row r="248">
      <c r="F248" s="2"/>
      <c r="G248" s="2"/>
      <c r="H248" s="2"/>
    </row>
    <row r="249">
      <c r="F249" s="2"/>
      <c r="G249" s="2"/>
      <c r="H249" s="2"/>
    </row>
    <row r="250">
      <c r="F250" s="2"/>
      <c r="G250" s="2"/>
      <c r="H250" s="2"/>
    </row>
    <row r="251">
      <c r="F251" s="2"/>
      <c r="G251" s="2"/>
      <c r="H251" s="2"/>
    </row>
    <row r="252">
      <c r="F252" s="2"/>
      <c r="G252" s="2"/>
      <c r="H252" s="2"/>
    </row>
    <row r="253">
      <c r="F253" s="2"/>
      <c r="G253" s="2"/>
      <c r="H253" s="2"/>
    </row>
    <row r="254">
      <c r="F254" s="2"/>
      <c r="G254" s="2"/>
      <c r="H254" s="2"/>
    </row>
    <row r="255">
      <c r="F255" s="2"/>
      <c r="G255" s="2"/>
      <c r="H255" s="2"/>
    </row>
    <row r="256">
      <c r="F256" s="2"/>
      <c r="G256" s="2"/>
      <c r="H256" s="2"/>
    </row>
    <row r="257">
      <c r="F257" s="2"/>
      <c r="G257" s="2"/>
      <c r="H257" s="2"/>
    </row>
    <row r="258">
      <c r="F258" s="2"/>
      <c r="G258" s="2"/>
      <c r="H258" s="2"/>
    </row>
    <row r="259">
      <c r="F259" s="2"/>
      <c r="G259" s="2"/>
      <c r="H259" s="2"/>
    </row>
    <row r="260">
      <c r="F260" s="2"/>
      <c r="G260" s="2"/>
      <c r="H260" s="2"/>
    </row>
    <row r="261">
      <c r="F261" s="2"/>
      <c r="G261" s="2"/>
      <c r="H261" s="2"/>
    </row>
    <row r="262">
      <c r="F262" s="2"/>
      <c r="G262" s="2"/>
      <c r="H262" s="2"/>
    </row>
    <row r="263">
      <c r="F263" s="2"/>
      <c r="G263" s="2"/>
      <c r="H263" s="2"/>
    </row>
    <row r="264">
      <c r="F264" s="2"/>
      <c r="G264" s="2"/>
      <c r="H264" s="2"/>
    </row>
    <row r="265">
      <c r="F265" s="2"/>
      <c r="G265" s="2"/>
      <c r="H265" s="2"/>
    </row>
    <row r="266">
      <c r="F266" s="2"/>
      <c r="G266" s="2"/>
      <c r="H266" s="2"/>
    </row>
    <row r="267">
      <c r="F267" s="2"/>
      <c r="G267" s="2"/>
      <c r="H267" s="2"/>
    </row>
    <row r="268">
      <c r="F268" s="2"/>
      <c r="G268" s="2"/>
      <c r="H268" s="2"/>
    </row>
    <row r="269">
      <c r="F269" s="2"/>
      <c r="G269" s="2"/>
      <c r="H269" s="2"/>
    </row>
    <row r="270">
      <c r="F270" s="2"/>
      <c r="G270" s="2"/>
      <c r="H270" s="2"/>
    </row>
    <row r="271">
      <c r="F271" s="2"/>
      <c r="G271" s="2"/>
      <c r="H271" s="2"/>
    </row>
    <row r="272">
      <c r="F272" s="2"/>
      <c r="G272" s="2"/>
      <c r="H272" s="2"/>
    </row>
    <row r="273">
      <c r="F273" s="2"/>
      <c r="G273" s="2"/>
      <c r="H273" s="2"/>
    </row>
    <row r="274">
      <c r="F274" s="2"/>
      <c r="G274" s="2"/>
      <c r="H274" s="2"/>
    </row>
    <row r="275">
      <c r="F275" s="2"/>
      <c r="G275" s="2"/>
      <c r="H275" s="2"/>
    </row>
    <row r="276">
      <c r="F276" s="2"/>
      <c r="G276" s="2"/>
      <c r="H276" s="2"/>
    </row>
    <row r="277">
      <c r="F277" s="2"/>
      <c r="G277" s="2"/>
      <c r="H277" s="2"/>
    </row>
    <row r="278">
      <c r="F278" s="2"/>
      <c r="G278" s="2"/>
      <c r="H278" s="2"/>
    </row>
    <row r="279">
      <c r="F279" s="2"/>
      <c r="G279" s="2"/>
      <c r="H279" s="2"/>
    </row>
    <row r="280">
      <c r="F280" s="2"/>
      <c r="G280" s="2"/>
      <c r="H280" s="2"/>
    </row>
    <row r="281">
      <c r="F281" s="2"/>
      <c r="G281" s="2"/>
      <c r="H281" s="2"/>
    </row>
    <row r="282">
      <c r="F282" s="2"/>
      <c r="G282" s="2"/>
      <c r="H282" s="2"/>
    </row>
    <row r="283">
      <c r="F283" s="2"/>
      <c r="G283" s="2"/>
      <c r="H283" s="2"/>
    </row>
    <row r="284">
      <c r="F284" s="2"/>
      <c r="G284" s="2"/>
      <c r="H284" s="2"/>
    </row>
    <row r="285">
      <c r="F285" s="2"/>
      <c r="G285" s="2"/>
      <c r="H285" s="2"/>
    </row>
    <row r="286">
      <c r="F286" s="2"/>
      <c r="G286" s="2"/>
      <c r="H286" s="2"/>
    </row>
    <row r="287">
      <c r="F287" s="2"/>
      <c r="G287" s="2"/>
      <c r="H287" s="2"/>
    </row>
    <row r="288">
      <c r="F288" s="2"/>
      <c r="G288" s="2"/>
      <c r="H288" s="2"/>
    </row>
    <row r="289">
      <c r="F289" s="2"/>
      <c r="G289" s="2"/>
      <c r="H289" s="2"/>
    </row>
    <row r="290">
      <c r="F290" s="2"/>
      <c r="G290" s="2"/>
      <c r="H290" s="2"/>
    </row>
    <row r="291">
      <c r="F291" s="2"/>
      <c r="G291" s="2"/>
      <c r="H291" s="2"/>
    </row>
    <row r="292">
      <c r="F292" s="2"/>
      <c r="G292" s="2"/>
      <c r="H292" s="2"/>
    </row>
    <row r="293">
      <c r="F293" s="2"/>
      <c r="G293" s="2"/>
      <c r="H293" s="2"/>
    </row>
    <row r="294">
      <c r="F294" s="2"/>
      <c r="G294" s="2"/>
      <c r="H294" s="2"/>
    </row>
    <row r="295">
      <c r="F295" s="2"/>
      <c r="G295" s="2"/>
      <c r="H295" s="2"/>
    </row>
    <row r="296">
      <c r="F296" s="2"/>
      <c r="G296" s="2"/>
      <c r="H296" s="2"/>
    </row>
    <row r="297">
      <c r="F297" s="2"/>
      <c r="G297" s="2"/>
      <c r="H297" s="2"/>
    </row>
    <row r="298">
      <c r="F298" s="2"/>
      <c r="G298" s="2"/>
      <c r="H298" s="2"/>
    </row>
    <row r="299">
      <c r="F299" s="2"/>
      <c r="G299" s="2"/>
      <c r="H299" s="2"/>
    </row>
    <row r="300">
      <c r="F300" s="2"/>
      <c r="G300" s="2"/>
      <c r="H300" s="2"/>
    </row>
    <row r="301">
      <c r="F301" s="2"/>
      <c r="G301" s="2"/>
      <c r="H301" s="2"/>
    </row>
    <row r="302">
      <c r="F302" s="2"/>
      <c r="G302" s="2"/>
      <c r="H302" s="2"/>
    </row>
    <row r="303">
      <c r="F303" s="2"/>
      <c r="G303" s="2"/>
      <c r="H303" s="2"/>
    </row>
    <row r="304">
      <c r="F304" s="2"/>
      <c r="G304" s="2"/>
      <c r="H304" s="2"/>
    </row>
    <row r="305">
      <c r="F305" s="2"/>
      <c r="G305" s="2"/>
      <c r="H305" s="2"/>
    </row>
    <row r="306">
      <c r="F306" s="2"/>
      <c r="G306" s="2"/>
      <c r="H306" s="2"/>
    </row>
    <row r="307">
      <c r="F307" s="2"/>
      <c r="G307" s="2"/>
      <c r="H307" s="2"/>
    </row>
    <row r="308">
      <c r="F308" s="2"/>
      <c r="G308" s="2"/>
      <c r="H308" s="2"/>
    </row>
    <row r="309">
      <c r="F309" s="2"/>
      <c r="G309" s="2"/>
      <c r="H309" s="2"/>
    </row>
    <row r="310">
      <c r="F310" s="2"/>
      <c r="G310" s="2"/>
      <c r="H310" s="2"/>
    </row>
    <row r="311">
      <c r="F311" s="2"/>
      <c r="G311" s="2"/>
      <c r="H311" s="2"/>
    </row>
    <row r="312">
      <c r="F312" s="2"/>
      <c r="G312" s="2"/>
      <c r="H312" s="2"/>
    </row>
    <row r="313">
      <c r="F313" s="2"/>
      <c r="G313" s="2"/>
      <c r="H313" s="2"/>
    </row>
    <row r="314">
      <c r="F314" s="2"/>
      <c r="G314" s="2"/>
      <c r="H314" s="2"/>
    </row>
    <row r="315">
      <c r="F315" s="2"/>
      <c r="G315" s="2"/>
      <c r="H315" s="2"/>
    </row>
    <row r="316">
      <c r="F316" s="2"/>
      <c r="G316" s="2"/>
      <c r="H316" s="2"/>
    </row>
    <row r="317">
      <c r="F317" s="2"/>
      <c r="G317" s="2"/>
      <c r="H317" s="2"/>
    </row>
    <row r="318">
      <c r="F318" s="2"/>
      <c r="G318" s="2"/>
      <c r="H318" s="2"/>
    </row>
    <row r="319">
      <c r="F319" s="2"/>
      <c r="G319" s="2"/>
      <c r="H319" s="2"/>
    </row>
    <row r="320">
      <c r="F320" s="2"/>
      <c r="G320" s="2"/>
      <c r="H320" s="2"/>
    </row>
    <row r="321">
      <c r="F321" s="2"/>
      <c r="G321" s="2"/>
      <c r="H321" s="2"/>
    </row>
    <row r="322">
      <c r="F322" s="2"/>
      <c r="G322" s="2"/>
      <c r="H322" s="2"/>
    </row>
    <row r="323">
      <c r="F323" s="2"/>
      <c r="G323" s="2"/>
      <c r="H323" s="2"/>
    </row>
    <row r="324">
      <c r="F324" s="2"/>
      <c r="G324" s="2"/>
      <c r="H324" s="2"/>
    </row>
    <row r="325">
      <c r="F325" s="2"/>
      <c r="G325" s="2"/>
      <c r="H325" s="2"/>
    </row>
    <row r="326">
      <c r="F326" s="2"/>
      <c r="G326" s="2"/>
      <c r="H326" s="2"/>
    </row>
    <row r="327">
      <c r="F327" s="2"/>
      <c r="G327" s="2"/>
      <c r="H327" s="2"/>
    </row>
    <row r="328">
      <c r="F328" s="2"/>
      <c r="G328" s="2"/>
      <c r="H328" s="2"/>
    </row>
    <row r="329">
      <c r="F329" s="2"/>
      <c r="G329" s="2"/>
      <c r="H329" s="2"/>
    </row>
    <row r="330">
      <c r="F330" s="2"/>
      <c r="G330" s="2"/>
      <c r="H330" s="2"/>
    </row>
    <row r="331">
      <c r="F331" s="2"/>
      <c r="G331" s="2"/>
      <c r="H331" s="2"/>
    </row>
    <row r="332">
      <c r="F332" s="2"/>
      <c r="G332" s="2"/>
      <c r="H332" s="2"/>
    </row>
    <row r="333">
      <c r="F333" s="2"/>
      <c r="G333" s="2"/>
      <c r="H333" s="2"/>
    </row>
    <row r="334">
      <c r="F334" s="2"/>
      <c r="G334" s="2"/>
      <c r="H334" s="2"/>
    </row>
    <row r="335">
      <c r="F335" s="2"/>
      <c r="G335" s="2"/>
      <c r="H335" s="2"/>
    </row>
    <row r="336">
      <c r="F336" s="2"/>
      <c r="G336" s="2"/>
      <c r="H336" s="2"/>
    </row>
    <row r="337">
      <c r="F337" s="2"/>
      <c r="G337" s="2"/>
      <c r="H337" s="2"/>
    </row>
    <row r="338">
      <c r="F338" s="2"/>
      <c r="G338" s="2"/>
      <c r="H338" s="2"/>
    </row>
    <row r="339">
      <c r="F339" s="2"/>
      <c r="G339" s="2"/>
      <c r="H339" s="2"/>
    </row>
    <row r="340">
      <c r="F340" s="2"/>
      <c r="G340" s="2"/>
      <c r="H340" s="2"/>
    </row>
    <row r="341">
      <c r="F341" s="2"/>
      <c r="G341" s="2"/>
      <c r="H341" s="2"/>
    </row>
    <row r="342">
      <c r="F342" s="2"/>
      <c r="G342" s="2"/>
      <c r="H342" s="2"/>
    </row>
    <row r="343">
      <c r="F343" s="2"/>
      <c r="G343" s="2"/>
      <c r="H343" s="2"/>
    </row>
    <row r="344">
      <c r="F344" s="2"/>
      <c r="G344" s="2"/>
      <c r="H344" s="2"/>
    </row>
    <row r="345">
      <c r="F345" s="2"/>
      <c r="G345" s="2"/>
      <c r="H345" s="2"/>
    </row>
    <row r="346">
      <c r="F346" s="2"/>
      <c r="G346" s="2"/>
      <c r="H346" s="2"/>
    </row>
    <row r="347">
      <c r="F347" s="2"/>
      <c r="G347" s="2"/>
      <c r="H347" s="2"/>
    </row>
    <row r="348">
      <c r="F348" s="2"/>
      <c r="G348" s="2"/>
      <c r="H348" s="2"/>
    </row>
    <row r="349">
      <c r="F349" s="2"/>
      <c r="G349" s="2"/>
      <c r="H349" s="2"/>
    </row>
    <row r="350">
      <c r="F350" s="2"/>
      <c r="G350" s="2"/>
      <c r="H350" s="2"/>
    </row>
    <row r="351">
      <c r="F351" s="2"/>
      <c r="G351" s="2"/>
      <c r="H351" s="2"/>
    </row>
    <row r="352">
      <c r="F352" s="2"/>
      <c r="G352" s="2"/>
      <c r="H352" s="2"/>
    </row>
    <row r="353">
      <c r="F353" s="2"/>
      <c r="G353" s="2"/>
      <c r="H353" s="2"/>
    </row>
    <row r="354">
      <c r="F354" s="2"/>
      <c r="G354" s="2"/>
      <c r="H354" s="2"/>
    </row>
    <row r="355">
      <c r="F355" s="2"/>
      <c r="G355" s="2"/>
      <c r="H355" s="2"/>
    </row>
    <row r="356">
      <c r="F356" s="2"/>
      <c r="G356" s="2"/>
      <c r="H356" s="2"/>
    </row>
    <row r="357">
      <c r="F357" s="2"/>
      <c r="G357" s="2"/>
      <c r="H357" s="2"/>
    </row>
    <row r="358">
      <c r="F358" s="2"/>
      <c r="G358" s="2"/>
      <c r="H358" s="2"/>
    </row>
    <row r="359">
      <c r="F359" s="2"/>
      <c r="G359" s="2"/>
      <c r="H359" s="2"/>
    </row>
    <row r="360">
      <c r="F360" s="2"/>
      <c r="G360" s="2"/>
      <c r="H360" s="2"/>
    </row>
    <row r="361">
      <c r="F361" s="2"/>
      <c r="G361" s="2"/>
      <c r="H361" s="2"/>
    </row>
    <row r="362">
      <c r="F362" s="2"/>
      <c r="G362" s="2"/>
      <c r="H362" s="2"/>
    </row>
    <row r="363">
      <c r="F363" s="2"/>
      <c r="G363" s="2"/>
      <c r="H363" s="2"/>
    </row>
    <row r="364">
      <c r="F364" s="2"/>
      <c r="G364" s="2"/>
      <c r="H364" s="2"/>
    </row>
    <row r="365">
      <c r="F365" s="2"/>
      <c r="G365" s="2"/>
      <c r="H365" s="2"/>
    </row>
    <row r="366">
      <c r="F366" s="2"/>
      <c r="G366" s="2"/>
      <c r="H366" s="2"/>
    </row>
    <row r="367">
      <c r="F367" s="2"/>
      <c r="G367" s="2"/>
      <c r="H367" s="2"/>
    </row>
    <row r="368">
      <c r="F368" s="2"/>
      <c r="G368" s="2"/>
      <c r="H368" s="2"/>
    </row>
    <row r="369">
      <c r="F369" s="2"/>
      <c r="G369" s="2"/>
      <c r="H369" s="2"/>
    </row>
    <row r="370">
      <c r="F370" s="2"/>
      <c r="G370" s="2"/>
      <c r="H370" s="2"/>
    </row>
    <row r="371">
      <c r="F371" s="2"/>
      <c r="G371" s="2"/>
      <c r="H371" s="2"/>
    </row>
    <row r="372">
      <c r="F372" s="2"/>
      <c r="G372" s="2"/>
      <c r="H372" s="2"/>
    </row>
    <row r="373">
      <c r="F373" s="2"/>
      <c r="G373" s="2"/>
      <c r="H373" s="2"/>
    </row>
    <row r="374">
      <c r="F374" s="2"/>
      <c r="G374" s="2"/>
      <c r="H374" s="2"/>
    </row>
    <row r="375">
      <c r="F375" s="2"/>
      <c r="G375" s="2"/>
      <c r="H375" s="2"/>
    </row>
    <row r="376">
      <c r="F376" s="2"/>
      <c r="G376" s="2"/>
      <c r="H376" s="2"/>
    </row>
    <row r="377">
      <c r="F377" s="2"/>
      <c r="G377" s="2"/>
      <c r="H377" s="2"/>
    </row>
    <row r="378">
      <c r="F378" s="2"/>
      <c r="G378" s="2"/>
      <c r="H378" s="2"/>
    </row>
    <row r="379">
      <c r="F379" s="2"/>
      <c r="G379" s="2"/>
      <c r="H379" s="2"/>
    </row>
    <row r="380">
      <c r="F380" s="2"/>
      <c r="G380" s="2"/>
      <c r="H380" s="2"/>
    </row>
    <row r="381">
      <c r="F381" s="2"/>
      <c r="G381" s="2"/>
      <c r="H381" s="2"/>
    </row>
    <row r="382">
      <c r="F382" s="2"/>
      <c r="G382" s="2"/>
      <c r="H382" s="2"/>
    </row>
    <row r="383">
      <c r="F383" s="2"/>
      <c r="G383" s="2"/>
      <c r="H383" s="2"/>
    </row>
    <row r="384">
      <c r="F384" s="2"/>
      <c r="G384" s="2"/>
      <c r="H384" s="2"/>
    </row>
    <row r="385">
      <c r="F385" s="2"/>
      <c r="G385" s="2"/>
      <c r="H385" s="2"/>
    </row>
    <row r="386">
      <c r="F386" s="2"/>
      <c r="G386" s="2"/>
      <c r="H386" s="2"/>
    </row>
    <row r="387">
      <c r="F387" s="2"/>
      <c r="G387" s="2"/>
      <c r="H387" s="2"/>
    </row>
    <row r="388">
      <c r="F388" s="2"/>
      <c r="G388" s="2"/>
      <c r="H388" s="2"/>
    </row>
    <row r="389">
      <c r="F389" s="2"/>
      <c r="G389" s="2"/>
      <c r="H389" s="2"/>
    </row>
    <row r="390">
      <c r="F390" s="2"/>
      <c r="G390" s="2"/>
      <c r="H390" s="2"/>
    </row>
    <row r="391">
      <c r="F391" s="2"/>
      <c r="G391" s="2"/>
      <c r="H391" s="2"/>
    </row>
    <row r="392">
      <c r="F392" s="2"/>
      <c r="G392" s="2"/>
      <c r="H392" s="2"/>
    </row>
    <row r="393">
      <c r="F393" s="2"/>
      <c r="G393" s="2"/>
      <c r="H393" s="2"/>
    </row>
    <row r="394">
      <c r="F394" s="2"/>
      <c r="G394" s="2"/>
      <c r="H394" s="2"/>
    </row>
    <row r="395">
      <c r="F395" s="2"/>
      <c r="G395" s="2"/>
      <c r="H395" s="2"/>
    </row>
    <row r="396">
      <c r="F396" s="2"/>
      <c r="G396" s="2"/>
      <c r="H396" s="2"/>
    </row>
    <row r="397">
      <c r="F397" s="2"/>
      <c r="G397" s="2"/>
      <c r="H397" s="2"/>
    </row>
    <row r="398">
      <c r="F398" s="2"/>
      <c r="G398" s="2"/>
      <c r="H398" s="2"/>
    </row>
    <row r="399">
      <c r="F399" s="2"/>
      <c r="G399" s="2"/>
      <c r="H399" s="2"/>
    </row>
    <row r="400">
      <c r="F400" s="2"/>
      <c r="G400" s="2"/>
      <c r="H400" s="2"/>
    </row>
    <row r="401">
      <c r="F401" s="2"/>
      <c r="G401" s="2"/>
      <c r="H401" s="2"/>
    </row>
    <row r="402">
      <c r="F402" s="2"/>
      <c r="G402" s="2"/>
      <c r="H402" s="2"/>
    </row>
    <row r="403">
      <c r="F403" s="2"/>
      <c r="G403" s="2"/>
      <c r="H403" s="2"/>
    </row>
    <row r="404">
      <c r="F404" s="2"/>
      <c r="G404" s="2"/>
      <c r="H404" s="2"/>
    </row>
    <row r="405">
      <c r="F405" s="2"/>
      <c r="G405" s="2"/>
      <c r="H405" s="2"/>
    </row>
    <row r="406">
      <c r="F406" s="2"/>
      <c r="G406" s="2"/>
      <c r="H406" s="2"/>
    </row>
    <row r="407">
      <c r="F407" s="2"/>
      <c r="G407" s="2"/>
      <c r="H407" s="2"/>
    </row>
    <row r="408">
      <c r="F408" s="2"/>
      <c r="G408" s="2"/>
      <c r="H408" s="2"/>
    </row>
    <row r="409">
      <c r="F409" s="2"/>
      <c r="G409" s="2"/>
      <c r="H409" s="2"/>
    </row>
    <row r="410">
      <c r="F410" s="2"/>
      <c r="G410" s="2"/>
      <c r="H410" s="2"/>
    </row>
    <row r="411">
      <c r="F411" s="2"/>
      <c r="G411" s="2"/>
      <c r="H411" s="2"/>
    </row>
    <row r="412">
      <c r="F412" s="2"/>
      <c r="G412" s="2"/>
      <c r="H412" s="2"/>
    </row>
    <row r="413">
      <c r="F413" s="2"/>
      <c r="G413" s="2"/>
      <c r="H413" s="2"/>
    </row>
    <row r="414">
      <c r="F414" s="2"/>
      <c r="G414" s="2"/>
      <c r="H414" s="2"/>
    </row>
    <row r="415">
      <c r="F415" s="2"/>
      <c r="G415" s="2"/>
      <c r="H415" s="2"/>
    </row>
    <row r="416">
      <c r="F416" s="2"/>
      <c r="G416" s="2"/>
      <c r="H416" s="2"/>
    </row>
    <row r="417">
      <c r="F417" s="2"/>
      <c r="G417" s="2"/>
      <c r="H417" s="2"/>
    </row>
    <row r="418">
      <c r="F418" s="2"/>
      <c r="G418" s="2"/>
      <c r="H418" s="2"/>
    </row>
    <row r="419">
      <c r="F419" s="2"/>
      <c r="G419" s="2"/>
      <c r="H419" s="2"/>
    </row>
    <row r="420">
      <c r="F420" s="2"/>
      <c r="G420" s="2"/>
      <c r="H420" s="2"/>
    </row>
    <row r="421">
      <c r="F421" s="2"/>
      <c r="G421" s="2"/>
      <c r="H421" s="2"/>
    </row>
    <row r="422">
      <c r="F422" s="2"/>
      <c r="G422" s="2"/>
      <c r="H422" s="2"/>
    </row>
    <row r="423">
      <c r="F423" s="2"/>
      <c r="G423" s="2"/>
      <c r="H423" s="2"/>
    </row>
    <row r="424">
      <c r="F424" s="2"/>
      <c r="G424" s="2"/>
      <c r="H424" s="2"/>
    </row>
    <row r="425">
      <c r="F425" s="2"/>
      <c r="G425" s="2"/>
      <c r="H425" s="2"/>
    </row>
    <row r="426">
      <c r="F426" s="2"/>
      <c r="G426" s="2"/>
      <c r="H426" s="2"/>
    </row>
    <row r="427">
      <c r="F427" s="2"/>
      <c r="G427" s="2"/>
      <c r="H427" s="2"/>
    </row>
    <row r="428">
      <c r="F428" s="2"/>
      <c r="G428" s="2"/>
      <c r="H428" s="2"/>
    </row>
    <row r="429">
      <c r="F429" s="2"/>
      <c r="G429" s="2"/>
      <c r="H429" s="2"/>
    </row>
    <row r="430">
      <c r="F430" s="2"/>
      <c r="G430" s="2"/>
      <c r="H430" s="2"/>
    </row>
    <row r="431">
      <c r="F431" s="2"/>
      <c r="G431" s="2"/>
      <c r="H431" s="2"/>
    </row>
    <row r="432">
      <c r="F432" s="2"/>
      <c r="G432" s="2"/>
      <c r="H432" s="2"/>
    </row>
    <row r="433">
      <c r="F433" s="2"/>
      <c r="G433" s="2"/>
      <c r="H433" s="2"/>
    </row>
    <row r="434">
      <c r="F434" s="2"/>
      <c r="G434" s="2"/>
      <c r="H434" s="2"/>
    </row>
    <row r="435">
      <c r="F435" s="2"/>
      <c r="G435" s="2"/>
      <c r="H435" s="2"/>
    </row>
    <row r="436">
      <c r="F436" s="2"/>
      <c r="G436" s="2"/>
      <c r="H436" s="2"/>
    </row>
    <row r="437">
      <c r="F437" s="2"/>
      <c r="G437" s="2"/>
      <c r="H437" s="2"/>
    </row>
    <row r="438">
      <c r="F438" s="2"/>
      <c r="G438" s="2"/>
      <c r="H438" s="2"/>
    </row>
    <row r="439">
      <c r="F439" s="2"/>
      <c r="G439" s="2"/>
      <c r="H439" s="2"/>
    </row>
    <row r="440">
      <c r="F440" s="2"/>
      <c r="G440" s="2"/>
      <c r="H440" s="2"/>
    </row>
    <row r="441">
      <c r="F441" s="2"/>
      <c r="G441" s="2"/>
      <c r="H441" s="2"/>
    </row>
    <row r="442">
      <c r="F442" s="2"/>
      <c r="G442" s="2"/>
      <c r="H442" s="2"/>
    </row>
    <row r="443">
      <c r="F443" s="2"/>
      <c r="G443" s="2"/>
      <c r="H443" s="2"/>
    </row>
    <row r="444">
      <c r="F444" s="2"/>
      <c r="G444" s="2"/>
      <c r="H444" s="2"/>
    </row>
    <row r="445">
      <c r="F445" s="2"/>
      <c r="G445" s="2"/>
      <c r="H445" s="2"/>
    </row>
    <row r="446">
      <c r="F446" s="2"/>
      <c r="G446" s="2"/>
      <c r="H446" s="2"/>
    </row>
    <row r="447">
      <c r="F447" s="2"/>
      <c r="G447" s="2"/>
      <c r="H447" s="2"/>
    </row>
    <row r="448">
      <c r="F448" s="2"/>
      <c r="G448" s="2"/>
      <c r="H448" s="2"/>
    </row>
    <row r="449">
      <c r="F449" s="2"/>
      <c r="G449" s="2"/>
      <c r="H449" s="2"/>
    </row>
    <row r="450">
      <c r="F450" s="2"/>
      <c r="G450" s="2"/>
      <c r="H450" s="2"/>
    </row>
    <row r="451">
      <c r="F451" s="2"/>
      <c r="G451" s="2"/>
      <c r="H451" s="2"/>
    </row>
    <row r="452">
      <c r="F452" s="2"/>
      <c r="G452" s="2"/>
      <c r="H452" s="2"/>
    </row>
    <row r="453">
      <c r="F453" s="2"/>
      <c r="G453" s="2"/>
      <c r="H453" s="2"/>
    </row>
    <row r="454">
      <c r="F454" s="2"/>
      <c r="G454" s="2"/>
      <c r="H454" s="2"/>
    </row>
    <row r="455">
      <c r="F455" s="2"/>
      <c r="G455" s="2"/>
      <c r="H455" s="2"/>
    </row>
    <row r="456">
      <c r="F456" s="2"/>
      <c r="G456" s="2"/>
      <c r="H456" s="2"/>
    </row>
    <row r="457">
      <c r="F457" s="2"/>
      <c r="G457" s="2"/>
      <c r="H457" s="2"/>
    </row>
    <row r="458">
      <c r="F458" s="2"/>
      <c r="G458" s="2"/>
      <c r="H458" s="2"/>
    </row>
    <row r="459">
      <c r="F459" s="2"/>
      <c r="G459" s="2"/>
      <c r="H459" s="2"/>
    </row>
    <row r="460">
      <c r="F460" s="2"/>
      <c r="G460" s="2"/>
      <c r="H460" s="2"/>
    </row>
    <row r="461">
      <c r="F461" s="2"/>
      <c r="G461" s="2"/>
      <c r="H461" s="2"/>
    </row>
    <row r="462">
      <c r="F462" s="2"/>
      <c r="G462" s="2"/>
      <c r="H462" s="2"/>
    </row>
    <row r="463">
      <c r="F463" s="2"/>
      <c r="G463" s="2"/>
      <c r="H463" s="2"/>
    </row>
    <row r="464">
      <c r="F464" s="2"/>
      <c r="G464" s="2"/>
      <c r="H464" s="2"/>
    </row>
    <row r="465">
      <c r="F465" s="2"/>
      <c r="G465" s="2"/>
      <c r="H465" s="2"/>
    </row>
    <row r="466">
      <c r="F466" s="2"/>
      <c r="G466" s="2"/>
      <c r="H466" s="2"/>
    </row>
    <row r="467">
      <c r="F467" s="2"/>
      <c r="G467" s="2"/>
      <c r="H467" s="2"/>
    </row>
    <row r="468">
      <c r="F468" s="2"/>
      <c r="G468" s="2"/>
      <c r="H468" s="2"/>
    </row>
    <row r="469">
      <c r="F469" s="2"/>
      <c r="G469" s="2"/>
      <c r="H469" s="2"/>
    </row>
    <row r="470">
      <c r="F470" s="2"/>
      <c r="G470" s="2"/>
      <c r="H470" s="2"/>
    </row>
    <row r="471">
      <c r="F471" s="2"/>
      <c r="G471" s="2"/>
      <c r="H471" s="2"/>
    </row>
    <row r="472">
      <c r="F472" s="2"/>
      <c r="G472" s="2"/>
      <c r="H472" s="2"/>
    </row>
    <row r="473">
      <c r="F473" s="2"/>
      <c r="G473" s="2"/>
      <c r="H473" s="2"/>
    </row>
    <row r="474">
      <c r="F474" s="2"/>
      <c r="G474" s="2"/>
      <c r="H474" s="2"/>
    </row>
    <row r="475">
      <c r="F475" s="2"/>
      <c r="G475" s="2"/>
      <c r="H475" s="2"/>
    </row>
    <row r="476">
      <c r="F476" s="2"/>
      <c r="G476" s="2"/>
      <c r="H476" s="2"/>
    </row>
    <row r="477">
      <c r="F477" s="2"/>
      <c r="G477" s="2"/>
      <c r="H477" s="2"/>
    </row>
    <row r="478">
      <c r="F478" s="2"/>
      <c r="G478" s="2"/>
      <c r="H478" s="2"/>
    </row>
    <row r="479">
      <c r="F479" s="2"/>
      <c r="G479" s="2"/>
      <c r="H479" s="2"/>
    </row>
    <row r="480">
      <c r="F480" s="2"/>
      <c r="G480" s="2"/>
      <c r="H480" s="2"/>
    </row>
    <row r="481">
      <c r="F481" s="2"/>
      <c r="G481" s="2"/>
      <c r="H481" s="2"/>
    </row>
    <row r="482">
      <c r="F482" s="2"/>
      <c r="G482" s="2"/>
      <c r="H482" s="2"/>
    </row>
    <row r="483">
      <c r="F483" s="2"/>
      <c r="G483" s="2"/>
      <c r="H483" s="2"/>
    </row>
    <row r="484">
      <c r="F484" s="2"/>
      <c r="G484" s="2"/>
      <c r="H484" s="2"/>
    </row>
    <row r="485">
      <c r="F485" s="2"/>
      <c r="G485" s="2"/>
      <c r="H485" s="2"/>
    </row>
    <row r="486">
      <c r="F486" s="2"/>
      <c r="G486" s="2"/>
      <c r="H486" s="2"/>
    </row>
    <row r="487">
      <c r="F487" s="2"/>
      <c r="G487" s="2"/>
      <c r="H487" s="2"/>
    </row>
    <row r="488">
      <c r="F488" s="2"/>
      <c r="G488" s="2"/>
      <c r="H488" s="2"/>
    </row>
    <row r="489">
      <c r="F489" s="2"/>
      <c r="G489" s="2"/>
      <c r="H489" s="2"/>
    </row>
    <row r="490">
      <c r="F490" s="2"/>
      <c r="G490" s="2"/>
      <c r="H490" s="2"/>
    </row>
    <row r="491">
      <c r="F491" s="2"/>
      <c r="G491" s="2"/>
      <c r="H491" s="2"/>
    </row>
    <row r="492">
      <c r="F492" s="2"/>
      <c r="G492" s="2"/>
      <c r="H492" s="2"/>
    </row>
    <row r="493">
      <c r="F493" s="2"/>
      <c r="G493" s="2"/>
      <c r="H493" s="2"/>
    </row>
    <row r="494">
      <c r="F494" s="2"/>
      <c r="G494" s="2"/>
      <c r="H494" s="2"/>
    </row>
    <row r="495">
      <c r="F495" s="2"/>
      <c r="G495" s="2"/>
      <c r="H495" s="2"/>
    </row>
    <row r="496">
      <c r="F496" s="2"/>
      <c r="G496" s="2"/>
      <c r="H496" s="2"/>
    </row>
    <row r="497">
      <c r="F497" s="2"/>
      <c r="G497" s="2"/>
      <c r="H497" s="2"/>
    </row>
    <row r="498">
      <c r="F498" s="2"/>
      <c r="G498" s="2"/>
      <c r="H498" s="2"/>
    </row>
    <row r="499">
      <c r="F499" s="2"/>
      <c r="G499" s="2"/>
      <c r="H499" s="2"/>
    </row>
    <row r="500">
      <c r="F500" s="2"/>
      <c r="G500" s="2"/>
      <c r="H500" s="2"/>
    </row>
    <row r="501">
      <c r="F501" s="2"/>
      <c r="G501" s="2"/>
      <c r="H501" s="2"/>
    </row>
    <row r="502">
      <c r="F502" s="2"/>
      <c r="G502" s="2"/>
      <c r="H502" s="2"/>
    </row>
    <row r="503">
      <c r="F503" s="2"/>
      <c r="G503" s="2"/>
      <c r="H503" s="2"/>
    </row>
    <row r="504">
      <c r="F504" s="2"/>
      <c r="G504" s="2"/>
      <c r="H504" s="2"/>
    </row>
    <row r="505">
      <c r="F505" s="2"/>
      <c r="G505" s="2"/>
      <c r="H505" s="2"/>
    </row>
    <row r="506">
      <c r="F506" s="2"/>
      <c r="G506" s="2"/>
      <c r="H506" s="2"/>
    </row>
    <row r="507">
      <c r="F507" s="2"/>
      <c r="G507" s="2"/>
      <c r="H507" s="2"/>
    </row>
    <row r="508">
      <c r="F508" s="2"/>
      <c r="G508" s="2"/>
      <c r="H508" s="2"/>
    </row>
    <row r="509">
      <c r="F509" s="2"/>
      <c r="G509" s="2"/>
      <c r="H509" s="2"/>
    </row>
    <row r="510">
      <c r="F510" s="2"/>
      <c r="G510" s="2"/>
      <c r="H510" s="2"/>
    </row>
    <row r="511">
      <c r="F511" s="2"/>
      <c r="G511" s="2"/>
      <c r="H511" s="2"/>
    </row>
    <row r="512">
      <c r="F512" s="2"/>
      <c r="G512" s="2"/>
      <c r="H512" s="2"/>
    </row>
    <row r="513">
      <c r="F513" s="2"/>
      <c r="G513" s="2"/>
      <c r="H513" s="2"/>
    </row>
    <row r="514">
      <c r="F514" s="2"/>
      <c r="G514" s="2"/>
      <c r="H514" s="2"/>
    </row>
    <row r="515">
      <c r="F515" s="2"/>
      <c r="G515" s="2"/>
      <c r="H515" s="2"/>
    </row>
    <row r="516">
      <c r="F516" s="2"/>
      <c r="G516" s="2"/>
      <c r="H516" s="2"/>
    </row>
    <row r="517">
      <c r="F517" s="2"/>
      <c r="G517" s="2"/>
      <c r="H517" s="2"/>
    </row>
    <row r="518">
      <c r="F518" s="2"/>
      <c r="G518" s="2"/>
      <c r="H518" s="2"/>
    </row>
    <row r="519">
      <c r="F519" s="2"/>
      <c r="G519" s="2"/>
      <c r="H519" s="2"/>
    </row>
    <row r="520">
      <c r="F520" s="2"/>
      <c r="G520" s="2"/>
      <c r="H520" s="2"/>
    </row>
    <row r="521">
      <c r="F521" s="2"/>
      <c r="G521" s="2"/>
      <c r="H521" s="2"/>
    </row>
    <row r="522">
      <c r="F522" s="2"/>
      <c r="G522" s="2"/>
      <c r="H522" s="2"/>
    </row>
    <row r="523">
      <c r="F523" s="2"/>
      <c r="G523" s="2"/>
      <c r="H523" s="2"/>
    </row>
    <row r="524">
      <c r="F524" s="2"/>
      <c r="G524" s="2"/>
      <c r="H524" s="2"/>
    </row>
    <row r="525">
      <c r="F525" s="2"/>
      <c r="G525" s="2"/>
      <c r="H525" s="2"/>
    </row>
    <row r="526">
      <c r="F526" s="2"/>
      <c r="G526" s="2"/>
      <c r="H526" s="2"/>
    </row>
    <row r="527">
      <c r="F527" s="2"/>
      <c r="G527" s="2"/>
      <c r="H527" s="2"/>
    </row>
    <row r="528">
      <c r="F528" s="2"/>
      <c r="G528" s="2"/>
      <c r="H528" s="2"/>
    </row>
    <row r="529">
      <c r="F529" s="2"/>
      <c r="G529" s="2"/>
      <c r="H529" s="2"/>
    </row>
    <row r="530">
      <c r="F530" s="2"/>
      <c r="G530" s="2"/>
      <c r="H530" s="2"/>
    </row>
    <row r="531">
      <c r="F531" s="2"/>
      <c r="G531" s="2"/>
      <c r="H531" s="2"/>
    </row>
    <row r="532">
      <c r="F532" s="2"/>
      <c r="G532" s="2"/>
      <c r="H532" s="2"/>
    </row>
    <row r="533">
      <c r="F533" s="2"/>
      <c r="G533" s="2"/>
      <c r="H533" s="2"/>
    </row>
    <row r="534">
      <c r="F534" s="2"/>
      <c r="G534" s="2"/>
      <c r="H534" s="2"/>
    </row>
    <row r="535">
      <c r="F535" s="2"/>
      <c r="G535" s="2"/>
      <c r="H535" s="2"/>
    </row>
    <row r="536">
      <c r="F536" s="2"/>
      <c r="G536" s="2"/>
      <c r="H536" s="2"/>
    </row>
    <row r="537">
      <c r="F537" s="2"/>
      <c r="G537" s="2"/>
      <c r="H537" s="2"/>
    </row>
    <row r="538">
      <c r="F538" s="2"/>
      <c r="G538" s="2"/>
      <c r="H538" s="2"/>
    </row>
    <row r="539">
      <c r="F539" s="2"/>
      <c r="G539" s="2"/>
      <c r="H539" s="2"/>
    </row>
    <row r="540">
      <c r="F540" s="2"/>
      <c r="G540" s="2"/>
      <c r="H540" s="2"/>
    </row>
    <row r="541">
      <c r="F541" s="2"/>
      <c r="G541" s="2"/>
      <c r="H541" s="2"/>
    </row>
    <row r="542">
      <c r="F542" s="2"/>
      <c r="G542" s="2"/>
      <c r="H542" s="2"/>
    </row>
    <row r="543">
      <c r="F543" s="2"/>
      <c r="G543" s="2"/>
      <c r="H543" s="2"/>
    </row>
    <row r="544">
      <c r="F544" s="2"/>
      <c r="G544" s="2"/>
      <c r="H544" s="2"/>
    </row>
    <row r="545">
      <c r="F545" s="2"/>
      <c r="G545" s="2"/>
      <c r="H545" s="2"/>
    </row>
    <row r="546">
      <c r="F546" s="2"/>
      <c r="G546" s="2"/>
      <c r="H546" s="2"/>
    </row>
    <row r="547">
      <c r="F547" s="2"/>
      <c r="G547" s="2"/>
      <c r="H547" s="2"/>
    </row>
    <row r="548">
      <c r="F548" s="2"/>
      <c r="G548" s="2"/>
      <c r="H548" s="2"/>
    </row>
    <row r="549">
      <c r="F549" s="2"/>
      <c r="G549" s="2"/>
      <c r="H549" s="2"/>
    </row>
    <row r="550">
      <c r="F550" s="2"/>
      <c r="G550" s="2"/>
      <c r="H550" s="2"/>
    </row>
    <row r="551">
      <c r="F551" s="2"/>
      <c r="G551" s="2"/>
      <c r="H551" s="2"/>
    </row>
    <row r="552">
      <c r="F552" s="2"/>
      <c r="G552" s="2"/>
      <c r="H552" s="2"/>
    </row>
    <row r="553">
      <c r="F553" s="2"/>
      <c r="G553" s="2"/>
      <c r="H553" s="2"/>
    </row>
    <row r="554">
      <c r="F554" s="2"/>
      <c r="G554" s="2"/>
      <c r="H554" s="2"/>
    </row>
    <row r="555">
      <c r="F555" s="2"/>
      <c r="G555" s="2"/>
      <c r="H555" s="2"/>
    </row>
    <row r="556">
      <c r="F556" s="2"/>
      <c r="G556" s="2"/>
      <c r="H556" s="2"/>
    </row>
    <row r="557">
      <c r="F557" s="2"/>
      <c r="G557" s="2"/>
      <c r="H557" s="2"/>
    </row>
    <row r="558">
      <c r="F558" s="2"/>
      <c r="G558" s="2"/>
      <c r="H558" s="2"/>
    </row>
    <row r="559">
      <c r="F559" s="2"/>
      <c r="G559" s="2"/>
      <c r="H559" s="2"/>
    </row>
    <row r="560">
      <c r="F560" s="2"/>
      <c r="G560" s="2"/>
      <c r="H560" s="2"/>
    </row>
    <row r="561">
      <c r="F561" s="2"/>
      <c r="G561" s="2"/>
      <c r="H561" s="2"/>
    </row>
    <row r="562">
      <c r="F562" s="2"/>
      <c r="G562" s="2"/>
      <c r="H562" s="2"/>
    </row>
    <row r="563">
      <c r="F563" s="2"/>
      <c r="G563" s="2"/>
      <c r="H563" s="2"/>
    </row>
    <row r="564">
      <c r="F564" s="2"/>
      <c r="G564" s="2"/>
      <c r="H564" s="2"/>
    </row>
    <row r="565">
      <c r="F565" s="2"/>
      <c r="G565" s="2"/>
      <c r="H565" s="2"/>
    </row>
    <row r="566">
      <c r="F566" s="2"/>
      <c r="G566" s="2"/>
      <c r="H566" s="2"/>
    </row>
    <row r="567">
      <c r="F567" s="2"/>
      <c r="G567" s="2"/>
      <c r="H567" s="2"/>
    </row>
    <row r="568">
      <c r="F568" s="2"/>
      <c r="G568" s="2"/>
      <c r="H568" s="2"/>
    </row>
    <row r="569">
      <c r="F569" s="2"/>
      <c r="G569" s="2"/>
      <c r="H569" s="2"/>
    </row>
    <row r="570">
      <c r="F570" s="2"/>
      <c r="G570" s="2"/>
      <c r="H570" s="2"/>
    </row>
    <row r="571">
      <c r="F571" s="2"/>
      <c r="G571" s="2"/>
      <c r="H571" s="2"/>
    </row>
    <row r="572">
      <c r="F572" s="2"/>
      <c r="G572" s="2"/>
      <c r="H572" s="2"/>
    </row>
    <row r="573">
      <c r="F573" s="2"/>
      <c r="G573" s="2"/>
      <c r="H573" s="2"/>
    </row>
    <row r="574">
      <c r="F574" s="2"/>
      <c r="G574" s="2"/>
      <c r="H574" s="2"/>
    </row>
    <row r="575">
      <c r="F575" s="2"/>
      <c r="G575" s="2"/>
      <c r="H575" s="2"/>
    </row>
    <row r="576">
      <c r="F576" s="2"/>
      <c r="G576" s="2"/>
      <c r="H576" s="2"/>
    </row>
    <row r="577">
      <c r="F577" s="2"/>
      <c r="G577" s="2"/>
      <c r="H577" s="2"/>
    </row>
    <row r="578">
      <c r="F578" s="2"/>
      <c r="G578" s="2"/>
      <c r="H578" s="2"/>
    </row>
    <row r="579">
      <c r="F579" s="2"/>
      <c r="G579" s="2"/>
      <c r="H579" s="2"/>
    </row>
    <row r="580">
      <c r="F580" s="2"/>
      <c r="G580" s="2"/>
      <c r="H580" s="2"/>
    </row>
    <row r="581">
      <c r="F581" s="2"/>
      <c r="G581" s="2"/>
      <c r="H581" s="2"/>
    </row>
    <row r="582">
      <c r="F582" s="2"/>
      <c r="G582" s="2"/>
      <c r="H582" s="2"/>
    </row>
    <row r="583">
      <c r="F583" s="2"/>
      <c r="G583" s="2"/>
      <c r="H583" s="2"/>
    </row>
    <row r="584">
      <c r="F584" s="2"/>
      <c r="G584" s="2"/>
      <c r="H584" s="2"/>
    </row>
    <row r="585">
      <c r="F585" s="2"/>
      <c r="G585" s="2"/>
      <c r="H585" s="2"/>
    </row>
    <row r="586">
      <c r="F586" s="2"/>
      <c r="G586" s="2"/>
      <c r="H586" s="2"/>
    </row>
    <row r="587">
      <c r="F587" s="2"/>
      <c r="G587" s="2"/>
      <c r="H587" s="2"/>
    </row>
    <row r="588">
      <c r="F588" s="2"/>
      <c r="G588" s="2"/>
      <c r="H588" s="2"/>
    </row>
    <row r="589">
      <c r="F589" s="2"/>
      <c r="G589" s="2"/>
      <c r="H589" s="2"/>
    </row>
    <row r="590">
      <c r="F590" s="2"/>
      <c r="G590" s="2"/>
      <c r="H590" s="2"/>
    </row>
    <row r="591">
      <c r="F591" s="2"/>
      <c r="G591" s="2"/>
      <c r="H591" s="2"/>
    </row>
    <row r="592">
      <c r="F592" s="2"/>
      <c r="G592" s="2"/>
      <c r="H592" s="2"/>
    </row>
    <row r="593">
      <c r="F593" s="2"/>
      <c r="G593" s="2"/>
      <c r="H593" s="2"/>
    </row>
    <row r="594">
      <c r="F594" s="2"/>
      <c r="G594" s="2"/>
      <c r="H594" s="2"/>
    </row>
    <row r="595">
      <c r="F595" s="2"/>
      <c r="G595" s="2"/>
      <c r="H595" s="2"/>
    </row>
    <row r="596">
      <c r="F596" s="2"/>
      <c r="G596" s="2"/>
      <c r="H596" s="2"/>
    </row>
    <row r="597">
      <c r="F597" s="2"/>
      <c r="G597" s="2"/>
      <c r="H597" s="2"/>
    </row>
    <row r="598">
      <c r="F598" s="2"/>
      <c r="G598" s="2"/>
      <c r="H598" s="2"/>
    </row>
    <row r="599">
      <c r="F599" s="2"/>
      <c r="G599" s="2"/>
      <c r="H599" s="2"/>
    </row>
    <row r="600">
      <c r="F600" s="2"/>
      <c r="G600" s="2"/>
      <c r="H600" s="2"/>
    </row>
    <row r="601">
      <c r="F601" s="2"/>
      <c r="G601" s="2"/>
      <c r="H601" s="2"/>
    </row>
    <row r="602">
      <c r="F602" s="2"/>
      <c r="G602" s="2"/>
      <c r="H602" s="2"/>
    </row>
    <row r="603">
      <c r="F603" s="2"/>
      <c r="G603" s="2"/>
      <c r="H603" s="2"/>
    </row>
    <row r="604">
      <c r="F604" s="2"/>
      <c r="G604" s="2"/>
      <c r="H604" s="2"/>
    </row>
    <row r="605">
      <c r="F605" s="2"/>
      <c r="G605" s="2"/>
      <c r="H605" s="2"/>
    </row>
    <row r="606">
      <c r="F606" s="2"/>
      <c r="G606" s="2"/>
      <c r="H606" s="2"/>
    </row>
    <row r="607">
      <c r="F607" s="2"/>
      <c r="G607" s="2"/>
      <c r="H607" s="2"/>
    </row>
    <row r="608">
      <c r="F608" s="2"/>
      <c r="G608" s="2"/>
      <c r="H608" s="2"/>
    </row>
    <row r="609">
      <c r="F609" s="2"/>
      <c r="G609" s="2"/>
      <c r="H609" s="2"/>
    </row>
    <row r="610">
      <c r="F610" s="2"/>
      <c r="G610" s="2"/>
      <c r="H610" s="2"/>
    </row>
    <row r="611">
      <c r="F611" s="2"/>
      <c r="G611" s="2"/>
      <c r="H611" s="2"/>
    </row>
    <row r="612">
      <c r="F612" s="2"/>
      <c r="G612" s="2"/>
      <c r="H612" s="2"/>
    </row>
    <row r="613">
      <c r="F613" s="2"/>
      <c r="G613" s="2"/>
      <c r="H613" s="2"/>
    </row>
    <row r="614">
      <c r="F614" s="2"/>
      <c r="G614" s="2"/>
      <c r="H614" s="2"/>
    </row>
    <row r="615">
      <c r="F615" s="2"/>
      <c r="G615" s="2"/>
      <c r="H615" s="2"/>
    </row>
    <row r="616">
      <c r="F616" s="2"/>
      <c r="G616" s="2"/>
      <c r="H616" s="2"/>
    </row>
    <row r="617">
      <c r="F617" s="2"/>
      <c r="G617" s="2"/>
      <c r="H617" s="2"/>
    </row>
    <row r="618">
      <c r="F618" s="2"/>
      <c r="G618" s="2"/>
      <c r="H618" s="2"/>
    </row>
    <row r="619">
      <c r="F619" s="2"/>
      <c r="G619" s="2"/>
      <c r="H619" s="2"/>
    </row>
    <row r="620">
      <c r="F620" s="2"/>
      <c r="G620" s="2"/>
      <c r="H620" s="2"/>
    </row>
    <row r="621">
      <c r="F621" s="2"/>
      <c r="G621" s="2"/>
      <c r="H621" s="2"/>
    </row>
    <row r="622">
      <c r="F622" s="2"/>
      <c r="G622" s="2"/>
      <c r="H622" s="2"/>
    </row>
    <row r="623">
      <c r="F623" s="2"/>
      <c r="G623" s="2"/>
      <c r="H623" s="2"/>
    </row>
    <row r="624">
      <c r="F624" s="2"/>
      <c r="G624" s="2"/>
      <c r="H624" s="2"/>
    </row>
    <row r="625">
      <c r="F625" s="2"/>
      <c r="G625" s="2"/>
      <c r="H625" s="2"/>
    </row>
    <row r="626">
      <c r="F626" s="2"/>
      <c r="G626" s="2"/>
      <c r="H626" s="2"/>
    </row>
    <row r="627">
      <c r="F627" s="2"/>
      <c r="G627" s="2"/>
      <c r="H627" s="2"/>
    </row>
    <row r="628">
      <c r="F628" s="2"/>
      <c r="G628" s="2"/>
      <c r="H628" s="2"/>
    </row>
    <row r="629">
      <c r="F629" s="2"/>
      <c r="G629" s="2"/>
      <c r="H629" s="2"/>
    </row>
    <row r="630">
      <c r="F630" s="2"/>
      <c r="G630" s="2"/>
      <c r="H630" s="2"/>
    </row>
    <row r="631">
      <c r="F631" s="2"/>
      <c r="G631" s="2"/>
      <c r="H631" s="2"/>
    </row>
    <row r="632">
      <c r="F632" s="2"/>
      <c r="G632" s="2"/>
      <c r="H632" s="2"/>
    </row>
    <row r="633">
      <c r="F633" s="2"/>
      <c r="G633" s="2"/>
      <c r="H633" s="2"/>
    </row>
    <row r="634">
      <c r="F634" s="2"/>
      <c r="G634" s="2"/>
      <c r="H634" s="2"/>
    </row>
    <row r="635">
      <c r="F635" s="2"/>
      <c r="G635" s="2"/>
      <c r="H635" s="2"/>
    </row>
    <row r="636">
      <c r="F636" s="2"/>
      <c r="G636" s="2"/>
      <c r="H636" s="2"/>
    </row>
    <row r="637">
      <c r="F637" s="2"/>
      <c r="G637" s="2"/>
      <c r="H637" s="2"/>
    </row>
    <row r="638">
      <c r="F638" s="2"/>
      <c r="G638" s="2"/>
      <c r="H638" s="2"/>
    </row>
    <row r="639">
      <c r="F639" s="2"/>
      <c r="G639" s="2"/>
      <c r="H639" s="2"/>
    </row>
    <row r="640">
      <c r="F640" s="2"/>
      <c r="G640" s="2"/>
      <c r="H640" s="2"/>
    </row>
    <row r="641">
      <c r="F641" s="2"/>
      <c r="G641" s="2"/>
      <c r="H641" s="2"/>
    </row>
    <row r="642">
      <c r="F642" s="2"/>
      <c r="G642" s="2"/>
      <c r="H642" s="2"/>
    </row>
    <row r="643">
      <c r="F643" s="2"/>
      <c r="G643" s="2"/>
      <c r="H643" s="2"/>
    </row>
    <row r="644">
      <c r="F644" s="2"/>
      <c r="G644" s="2"/>
      <c r="H644" s="2"/>
    </row>
    <row r="645">
      <c r="F645" s="2"/>
      <c r="G645" s="2"/>
      <c r="H645" s="2"/>
    </row>
    <row r="646">
      <c r="F646" s="2"/>
      <c r="G646" s="2"/>
      <c r="H646" s="2"/>
    </row>
    <row r="647">
      <c r="F647" s="2"/>
      <c r="G647" s="2"/>
      <c r="H647" s="2"/>
    </row>
    <row r="648">
      <c r="F648" s="2"/>
      <c r="G648" s="2"/>
      <c r="H648" s="2"/>
    </row>
    <row r="649">
      <c r="F649" s="2"/>
      <c r="G649" s="2"/>
      <c r="H649" s="2"/>
    </row>
    <row r="650">
      <c r="F650" s="2"/>
      <c r="G650" s="2"/>
      <c r="H650" s="2"/>
    </row>
    <row r="651">
      <c r="F651" s="2"/>
      <c r="G651" s="2"/>
      <c r="H651" s="2"/>
    </row>
    <row r="652">
      <c r="F652" s="2"/>
      <c r="G652" s="2"/>
      <c r="H652" s="2"/>
    </row>
    <row r="653">
      <c r="F653" s="2"/>
      <c r="G653" s="2"/>
      <c r="H653" s="2"/>
    </row>
    <row r="654">
      <c r="F654" s="2"/>
      <c r="G654" s="2"/>
      <c r="H654" s="2"/>
    </row>
    <row r="655">
      <c r="F655" s="2"/>
      <c r="G655" s="2"/>
      <c r="H655" s="2"/>
    </row>
    <row r="656">
      <c r="F656" s="2"/>
      <c r="G656" s="2"/>
      <c r="H656" s="2"/>
    </row>
    <row r="657">
      <c r="F657" s="2"/>
      <c r="G657" s="2"/>
      <c r="H657" s="2"/>
    </row>
    <row r="658">
      <c r="F658" s="2"/>
      <c r="G658" s="2"/>
      <c r="H658" s="2"/>
    </row>
    <row r="659">
      <c r="F659" s="2"/>
      <c r="G659" s="2"/>
      <c r="H659" s="2"/>
    </row>
    <row r="660">
      <c r="F660" s="2"/>
      <c r="G660" s="2"/>
      <c r="H660" s="2"/>
    </row>
    <row r="661">
      <c r="F661" s="2"/>
      <c r="G661" s="2"/>
      <c r="H661" s="2"/>
    </row>
    <row r="662">
      <c r="F662" s="2"/>
      <c r="G662" s="2"/>
      <c r="H662" s="2"/>
    </row>
    <row r="663">
      <c r="F663" s="2"/>
      <c r="G663" s="2"/>
      <c r="H663" s="2"/>
    </row>
    <row r="664">
      <c r="F664" s="2"/>
      <c r="G664" s="2"/>
      <c r="H664" s="2"/>
    </row>
    <row r="665">
      <c r="F665" s="2"/>
      <c r="G665" s="2"/>
      <c r="H665" s="2"/>
    </row>
    <row r="666">
      <c r="F666" s="2"/>
      <c r="G666" s="2"/>
      <c r="H666" s="2"/>
    </row>
    <row r="667">
      <c r="F667" s="2"/>
      <c r="G667" s="2"/>
      <c r="H667" s="2"/>
    </row>
    <row r="668">
      <c r="F668" s="2"/>
      <c r="G668" s="2"/>
      <c r="H668" s="2"/>
    </row>
    <row r="669">
      <c r="F669" s="2"/>
      <c r="G669" s="2"/>
      <c r="H669" s="2"/>
    </row>
    <row r="670">
      <c r="F670" s="2"/>
      <c r="G670" s="2"/>
      <c r="H670" s="2"/>
    </row>
    <row r="671">
      <c r="F671" s="2"/>
      <c r="G671" s="2"/>
      <c r="H671" s="2"/>
    </row>
    <row r="672">
      <c r="F672" s="2"/>
      <c r="G672" s="2"/>
      <c r="H672" s="2"/>
    </row>
    <row r="673">
      <c r="F673" s="2"/>
      <c r="G673" s="2"/>
      <c r="H673" s="2"/>
    </row>
    <row r="674">
      <c r="F674" s="2"/>
      <c r="G674" s="2"/>
      <c r="H674" s="2"/>
    </row>
    <row r="675">
      <c r="F675" s="2"/>
      <c r="G675" s="2"/>
      <c r="H675" s="2"/>
    </row>
    <row r="676">
      <c r="F676" s="2"/>
      <c r="G676" s="2"/>
      <c r="H676" s="2"/>
    </row>
    <row r="677">
      <c r="F677" s="2"/>
      <c r="G677" s="2"/>
      <c r="H677" s="2"/>
    </row>
    <row r="678">
      <c r="F678" s="2"/>
      <c r="G678" s="2"/>
      <c r="H678" s="2"/>
    </row>
    <row r="679">
      <c r="F679" s="2"/>
      <c r="G679" s="2"/>
      <c r="H679" s="2"/>
    </row>
    <row r="680">
      <c r="F680" s="2"/>
      <c r="G680" s="2"/>
      <c r="H680" s="2"/>
    </row>
    <row r="681">
      <c r="F681" s="2"/>
      <c r="G681" s="2"/>
      <c r="H681" s="2"/>
    </row>
    <row r="682">
      <c r="F682" s="2"/>
      <c r="G682" s="2"/>
      <c r="H682" s="2"/>
    </row>
    <row r="683">
      <c r="F683" s="2"/>
      <c r="G683" s="2"/>
      <c r="H683" s="2"/>
    </row>
    <row r="684">
      <c r="F684" s="2"/>
      <c r="G684" s="2"/>
      <c r="H684" s="2"/>
    </row>
    <row r="685">
      <c r="F685" s="2"/>
      <c r="G685" s="2"/>
      <c r="H685" s="2"/>
    </row>
    <row r="686">
      <c r="F686" s="2"/>
      <c r="G686" s="2"/>
      <c r="H686" s="2"/>
    </row>
    <row r="687">
      <c r="F687" s="2"/>
      <c r="G687" s="2"/>
      <c r="H687" s="2"/>
    </row>
    <row r="688">
      <c r="F688" s="2"/>
      <c r="G688" s="2"/>
      <c r="H688" s="2"/>
    </row>
    <row r="689">
      <c r="F689" s="2"/>
      <c r="G689" s="2"/>
      <c r="H689" s="2"/>
    </row>
    <row r="690">
      <c r="F690" s="2"/>
      <c r="G690" s="2"/>
      <c r="H690" s="2"/>
    </row>
    <row r="691">
      <c r="F691" s="2"/>
      <c r="G691" s="2"/>
      <c r="H691" s="2"/>
    </row>
    <row r="692">
      <c r="F692" s="2"/>
      <c r="G692" s="2"/>
      <c r="H692" s="2"/>
    </row>
    <row r="693">
      <c r="F693" s="2"/>
      <c r="G693" s="2"/>
      <c r="H693" s="2"/>
    </row>
    <row r="694">
      <c r="F694" s="2"/>
      <c r="G694" s="2"/>
      <c r="H694" s="2"/>
    </row>
    <row r="695">
      <c r="F695" s="2"/>
      <c r="G695" s="2"/>
      <c r="H695" s="2"/>
    </row>
    <row r="696">
      <c r="F696" s="2"/>
      <c r="G696" s="2"/>
      <c r="H696" s="2"/>
    </row>
    <row r="697">
      <c r="F697" s="2"/>
      <c r="G697" s="2"/>
      <c r="H697" s="2"/>
    </row>
    <row r="698">
      <c r="F698" s="2"/>
      <c r="G698" s="2"/>
      <c r="H698" s="2"/>
    </row>
    <row r="699">
      <c r="F699" s="2"/>
      <c r="G699" s="2"/>
      <c r="H699" s="2"/>
    </row>
    <row r="700">
      <c r="F700" s="2"/>
      <c r="G700" s="2"/>
      <c r="H700" s="2"/>
    </row>
    <row r="701">
      <c r="F701" s="2"/>
      <c r="G701" s="2"/>
      <c r="H701" s="2"/>
    </row>
    <row r="702">
      <c r="F702" s="2"/>
      <c r="G702" s="2"/>
      <c r="H702" s="2"/>
    </row>
    <row r="703">
      <c r="F703" s="2"/>
      <c r="G703" s="2"/>
      <c r="H703" s="2"/>
    </row>
    <row r="704">
      <c r="F704" s="2"/>
      <c r="G704" s="2"/>
      <c r="H704" s="2"/>
    </row>
    <row r="705">
      <c r="F705" s="2"/>
      <c r="G705" s="2"/>
      <c r="H705" s="2"/>
    </row>
    <row r="706">
      <c r="F706" s="2"/>
      <c r="G706" s="2"/>
      <c r="H706" s="2"/>
    </row>
    <row r="707">
      <c r="F707" s="2"/>
      <c r="G707" s="2"/>
      <c r="H707" s="2"/>
    </row>
    <row r="708">
      <c r="F708" s="2"/>
      <c r="G708" s="2"/>
      <c r="H708" s="2"/>
    </row>
    <row r="709">
      <c r="F709" s="2"/>
      <c r="G709" s="2"/>
      <c r="H709" s="2"/>
    </row>
    <row r="710">
      <c r="F710" s="2"/>
      <c r="G710" s="2"/>
      <c r="H710" s="2"/>
    </row>
    <row r="711">
      <c r="F711" s="2"/>
      <c r="G711" s="2"/>
      <c r="H711" s="2"/>
    </row>
    <row r="712">
      <c r="F712" s="2"/>
      <c r="G712" s="2"/>
      <c r="H712" s="2"/>
    </row>
    <row r="713">
      <c r="F713" s="2"/>
      <c r="G713" s="2"/>
      <c r="H713" s="2"/>
    </row>
    <row r="714">
      <c r="F714" s="2"/>
      <c r="G714" s="2"/>
      <c r="H714" s="2"/>
    </row>
    <row r="715">
      <c r="F715" s="2"/>
      <c r="G715" s="2"/>
      <c r="H715" s="2"/>
    </row>
    <row r="716">
      <c r="F716" s="2"/>
      <c r="G716" s="2"/>
      <c r="H716" s="2"/>
    </row>
    <row r="717">
      <c r="F717" s="2"/>
      <c r="G717" s="2"/>
      <c r="H717" s="2"/>
    </row>
    <row r="718">
      <c r="F718" s="2"/>
      <c r="G718" s="2"/>
      <c r="H718" s="2"/>
    </row>
    <row r="719">
      <c r="F719" s="2"/>
      <c r="G719" s="2"/>
      <c r="H719" s="2"/>
    </row>
    <row r="720">
      <c r="F720" s="2"/>
      <c r="G720" s="2"/>
      <c r="H720" s="2"/>
    </row>
    <row r="721">
      <c r="F721" s="2"/>
      <c r="G721" s="2"/>
      <c r="H721" s="2"/>
    </row>
    <row r="722">
      <c r="F722" s="2"/>
      <c r="G722" s="2"/>
      <c r="H722" s="2"/>
    </row>
    <row r="723">
      <c r="F723" s="2"/>
      <c r="G723" s="2"/>
      <c r="H723" s="2"/>
    </row>
    <row r="724">
      <c r="F724" s="2"/>
      <c r="G724" s="2"/>
      <c r="H724" s="2"/>
    </row>
    <row r="725">
      <c r="F725" s="2"/>
      <c r="G725" s="2"/>
      <c r="H725" s="2"/>
    </row>
    <row r="726">
      <c r="F726" s="2"/>
      <c r="G726" s="2"/>
      <c r="H726" s="2"/>
    </row>
    <row r="727">
      <c r="F727" s="2"/>
      <c r="G727" s="2"/>
      <c r="H727" s="2"/>
    </row>
    <row r="728">
      <c r="F728" s="2"/>
      <c r="G728" s="2"/>
      <c r="H728" s="2"/>
    </row>
    <row r="729">
      <c r="F729" s="2"/>
      <c r="G729" s="2"/>
      <c r="H729" s="2"/>
    </row>
    <row r="730">
      <c r="F730" s="2"/>
      <c r="G730" s="2"/>
      <c r="H730" s="2"/>
    </row>
    <row r="731">
      <c r="F731" s="2"/>
      <c r="G731" s="2"/>
      <c r="H731" s="2"/>
    </row>
    <row r="732">
      <c r="F732" s="2"/>
      <c r="G732" s="2"/>
      <c r="H732" s="2"/>
    </row>
    <row r="733">
      <c r="F733" s="2"/>
      <c r="G733" s="2"/>
      <c r="H733" s="2"/>
    </row>
    <row r="734">
      <c r="F734" s="2"/>
      <c r="G734" s="2"/>
      <c r="H734" s="2"/>
    </row>
    <row r="735">
      <c r="F735" s="2"/>
      <c r="G735" s="2"/>
      <c r="H735" s="2"/>
    </row>
    <row r="736">
      <c r="F736" s="2"/>
      <c r="G736" s="2"/>
      <c r="H736" s="2"/>
    </row>
    <row r="737">
      <c r="F737" s="2"/>
      <c r="G737" s="2"/>
      <c r="H737" s="2"/>
    </row>
    <row r="738">
      <c r="F738" s="2"/>
      <c r="G738" s="2"/>
      <c r="H738" s="2"/>
    </row>
    <row r="739">
      <c r="F739" s="2"/>
      <c r="G739" s="2"/>
      <c r="H739" s="2"/>
    </row>
    <row r="740">
      <c r="F740" s="2"/>
      <c r="G740" s="2"/>
      <c r="H740" s="2"/>
    </row>
    <row r="741">
      <c r="F741" s="2"/>
      <c r="G741" s="2"/>
      <c r="H741" s="2"/>
    </row>
    <row r="742">
      <c r="F742" s="2"/>
      <c r="G742" s="2"/>
      <c r="H742" s="2"/>
    </row>
    <row r="743">
      <c r="F743" s="2"/>
      <c r="G743" s="2"/>
      <c r="H743" s="2"/>
    </row>
    <row r="744">
      <c r="F744" s="2"/>
      <c r="G744" s="2"/>
      <c r="H744" s="2"/>
    </row>
    <row r="745">
      <c r="F745" s="2"/>
      <c r="G745" s="2"/>
      <c r="H745" s="2"/>
    </row>
    <row r="746">
      <c r="F746" s="2"/>
      <c r="G746" s="2"/>
      <c r="H746" s="2"/>
    </row>
    <row r="747">
      <c r="F747" s="2"/>
      <c r="G747" s="2"/>
      <c r="H747" s="2"/>
    </row>
    <row r="748">
      <c r="F748" s="2"/>
      <c r="G748" s="2"/>
      <c r="H748" s="2"/>
    </row>
    <row r="749">
      <c r="F749" s="2"/>
      <c r="G749" s="2"/>
      <c r="H749" s="2"/>
    </row>
    <row r="750">
      <c r="F750" s="2"/>
      <c r="G750" s="2"/>
      <c r="H750" s="2"/>
    </row>
    <row r="751">
      <c r="F751" s="2"/>
      <c r="G751" s="2"/>
      <c r="H751" s="2"/>
    </row>
    <row r="752">
      <c r="F752" s="2"/>
      <c r="G752" s="2"/>
      <c r="H752" s="2"/>
    </row>
    <row r="753">
      <c r="F753" s="2"/>
      <c r="G753" s="2"/>
      <c r="H753" s="2"/>
    </row>
    <row r="754">
      <c r="F754" s="2"/>
      <c r="G754" s="2"/>
      <c r="H754" s="2"/>
    </row>
    <row r="755">
      <c r="F755" s="2"/>
      <c r="G755" s="2"/>
      <c r="H755" s="2"/>
    </row>
    <row r="756">
      <c r="F756" s="2"/>
      <c r="G756" s="2"/>
      <c r="H756" s="2"/>
    </row>
    <row r="757">
      <c r="F757" s="2"/>
      <c r="G757" s="2"/>
      <c r="H757" s="2"/>
    </row>
    <row r="758">
      <c r="F758" s="2"/>
      <c r="G758" s="2"/>
      <c r="H758" s="2"/>
    </row>
    <row r="759">
      <c r="F759" s="2"/>
      <c r="G759" s="2"/>
      <c r="H759" s="2"/>
    </row>
    <row r="760">
      <c r="F760" s="2"/>
      <c r="G760" s="2"/>
      <c r="H760" s="2"/>
    </row>
    <row r="761">
      <c r="F761" s="2"/>
      <c r="G761" s="2"/>
      <c r="H761" s="2"/>
    </row>
    <row r="762">
      <c r="F762" s="2"/>
      <c r="G762" s="2"/>
      <c r="H762" s="2"/>
    </row>
    <row r="763">
      <c r="F763" s="2"/>
      <c r="G763" s="2"/>
      <c r="H763" s="2"/>
    </row>
    <row r="764">
      <c r="F764" s="2"/>
      <c r="G764" s="2"/>
      <c r="H764" s="2"/>
    </row>
    <row r="765">
      <c r="F765" s="2"/>
      <c r="G765" s="2"/>
      <c r="H765" s="2"/>
    </row>
    <row r="766">
      <c r="F766" s="2"/>
      <c r="G766" s="2"/>
      <c r="H766" s="2"/>
    </row>
    <row r="767">
      <c r="F767" s="2"/>
      <c r="G767" s="2"/>
      <c r="H767" s="2"/>
    </row>
    <row r="768">
      <c r="F768" s="2"/>
      <c r="G768" s="2"/>
      <c r="H768" s="2"/>
    </row>
    <row r="769">
      <c r="F769" s="2"/>
      <c r="G769" s="2"/>
      <c r="H769" s="2"/>
    </row>
    <row r="770">
      <c r="F770" s="2"/>
      <c r="G770" s="2"/>
      <c r="H770" s="2"/>
    </row>
    <row r="771">
      <c r="F771" s="2"/>
      <c r="G771" s="2"/>
      <c r="H771" s="2"/>
    </row>
    <row r="772">
      <c r="F772" s="2"/>
      <c r="G772" s="2"/>
      <c r="H772" s="2"/>
    </row>
    <row r="773">
      <c r="F773" s="2"/>
      <c r="G773" s="2"/>
      <c r="H773" s="2"/>
    </row>
    <row r="774">
      <c r="F774" s="2"/>
      <c r="G774" s="2"/>
      <c r="H774" s="2"/>
    </row>
    <row r="775">
      <c r="F775" s="2"/>
      <c r="G775" s="2"/>
      <c r="H775" s="2"/>
    </row>
    <row r="776">
      <c r="F776" s="2"/>
      <c r="G776" s="2"/>
      <c r="H776" s="2"/>
    </row>
    <row r="777">
      <c r="F777" s="2"/>
      <c r="G777" s="2"/>
      <c r="H777" s="2"/>
    </row>
    <row r="778">
      <c r="F778" s="2"/>
      <c r="G778" s="2"/>
      <c r="H778" s="2"/>
    </row>
    <row r="779">
      <c r="F779" s="2"/>
      <c r="G779" s="2"/>
      <c r="H779" s="2"/>
    </row>
    <row r="780">
      <c r="F780" s="2"/>
      <c r="G780" s="2"/>
      <c r="H780" s="2"/>
    </row>
    <row r="781">
      <c r="F781" s="2"/>
      <c r="G781" s="2"/>
      <c r="H781" s="2"/>
    </row>
    <row r="782">
      <c r="F782" s="2"/>
      <c r="G782" s="2"/>
      <c r="H782" s="2"/>
    </row>
    <row r="783">
      <c r="F783" s="2"/>
      <c r="G783" s="2"/>
      <c r="H783" s="2"/>
    </row>
    <row r="784">
      <c r="F784" s="2"/>
      <c r="G784" s="2"/>
      <c r="H784" s="2"/>
    </row>
    <row r="785">
      <c r="F785" s="2"/>
      <c r="G785" s="2"/>
      <c r="H785" s="2"/>
    </row>
    <row r="786">
      <c r="F786" s="2"/>
      <c r="G786" s="2"/>
      <c r="H786" s="2"/>
    </row>
    <row r="787">
      <c r="F787" s="2"/>
      <c r="G787" s="2"/>
      <c r="H787" s="2"/>
    </row>
    <row r="788">
      <c r="F788" s="2"/>
      <c r="G788" s="2"/>
      <c r="H788" s="2"/>
    </row>
    <row r="789">
      <c r="F789" s="2"/>
      <c r="G789" s="2"/>
      <c r="H789" s="2"/>
    </row>
    <row r="790">
      <c r="F790" s="2"/>
      <c r="G790" s="2"/>
      <c r="H790" s="2"/>
    </row>
    <row r="791">
      <c r="F791" s="2"/>
      <c r="G791" s="2"/>
      <c r="H791" s="2"/>
    </row>
    <row r="792">
      <c r="F792" s="2"/>
      <c r="G792" s="2"/>
      <c r="H792" s="2"/>
    </row>
    <row r="793">
      <c r="F793" s="2"/>
      <c r="G793" s="2"/>
      <c r="H793" s="2"/>
    </row>
    <row r="794">
      <c r="F794" s="2"/>
      <c r="G794" s="2"/>
      <c r="H794" s="2"/>
    </row>
    <row r="795">
      <c r="F795" s="2"/>
      <c r="G795" s="2"/>
      <c r="H795" s="2"/>
    </row>
    <row r="796">
      <c r="F796" s="2"/>
      <c r="G796" s="2"/>
      <c r="H796" s="2"/>
    </row>
    <row r="797">
      <c r="F797" s="2"/>
      <c r="G797" s="2"/>
      <c r="H797" s="2"/>
    </row>
    <row r="798">
      <c r="F798" s="2"/>
      <c r="G798" s="2"/>
      <c r="H798" s="2"/>
    </row>
    <row r="799">
      <c r="F799" s="2"/>
      <c r="G799" s="2"/>
      <c r="H799" s="2"/>
    </row>
    <row r="800">
      <c r="F800" s="2"/>
      <c r="G800" s="2"/>
      <c r="H800" s="2"/>
    </row>
    <row r="801">
      <c r="F801" s="2"/>
      <c r="G801" s="2"/>
      <c r="H801" s="2"/>
    </row>
    <row r="802">
      <c r="F802" s="2"/>
      <c r="G802" s="2"/>
      <c r="H802" s="2"/>
    </row>
    <row r="803">
      <c r="F803" s="2"/>
      <c r="G803" s="2"/>
      <c r="H803" s="2"/>
    </row>
    <row r="804">
      <c r="F804" s="2"/>
      <c r="G804" s="2"/>
      <c r="H804" s="2"/>
    </row>
    <row r="805">
      <c r="F805" s="2"/>
      <c r="G805" s="2"/>
      <c r="H805" s="2"/>
    </row>
    <row r="806">
      <c r="F806" s="2"/>
      <c r="G806" s="2"/>
      <c r="H806" s="2"/>
    </row>
    <row r="807">
      <c r="F807" s="2"/>
      <c r="G807" s="2"/>
      <c r="H807" s="2"/>
    </row>
    <row r="808">
      <c r="F808" s="2"/>
      <c r="G808" s="2"/>
      <c r="H808" s="2"/>
    </row>
    <row r="809">
      <c r="F809" s="2"/>
      <c r="G809" s="2"/>
      <c r="H809" s="2"/>
    </row>
    <row r="810">
      <c r="F810" s="2"/>
      <c r="G810" s="2"/>
      <c r="H810" s="2"/>
    </row>
    <row r="811">
      <c r="F811" s="2"/>
      <c r="G811" s="2"/>
      <c r="H811" s="2"/>
    </row>
    <row r="812">
      <c r="F812" s="2"/>
      <c r="G812" s="2"/>
      <c r="H812" s="2"/>
    </row>
    <row r="813">
      <c r="F813" s="2"/>
      <c r="G813" s="2"/>
      <c r="H813" s="2"/>
    </row>
    <row r="814">
      <c r="F814" s="2"/>
      <c r="G814" s="2"/>
      <c r="H814" s="2"/>
    </row>
    <row r="815">
      <c r="F815" s="2"/>
      <c r="G815" s="2"/>
      <c r="H815" s="2"/>
    </row>
    <row r="816">
      <c r="F816" s="2"/>
      <c r="G816" s="2"/>
      <c r="H816" s="2"/>
    </row>
    <row r="817">
      <c r="F817" s="2"/>
      <c r="G817" s="2"/>
      <c r="H817" s="2"/>
    </row>
    <row r="818">
      <c r="F818" s="2"/>
      <c r="G818" s="2"/>
      <c r="H818" s="2"/>
    </row>
    <row r="819">
      <c r="F819" s="2"/>
      <c r="G819" s="2"/>
      <c r="H819" s="2"/>
    </row>
    <row r="820">
      <c r="F820" s="2"/>
      <c r="G820" s="2"/>
      <c r="H820" s="2"/>
    </row>
    <row r="821">
      <c r="F821" s="2"/>
      <c r="G821" s="2"/>
      <c r="H821" s="2"/>
    </row>
    <row r="822">
      <c r="F822" s="2"/>
      <c r="G822" s="2"/>
      <c r="H822" s="2"/>
    </row>
    <row r="823">
      <c r="F823" s="2"/>
      <c r="G823" s="2"/>
      <c r="H823" s="2"/>
    </row>
    <row r="824">
      <c r="F824" s="2"/>
      <c r="G824" s="2"/>
      <c r="H824" s="2"/>
    </row>
    <row r="825">
      <c r="F825" s="2"/>
      <c r="G825" s="2"/>
      <c r="H825" s="2"/>
    </row>
    <row r="826">
      <c r="F826" s="2"/>
      <c r="G826" s="2"/>
      <c r="H826" s="2"/>
    </row>
    <row r="827">
      <c r="F827" s="2"/>
      <c r="G827" s="2"/>
      <c r="H827" s="2"/>
    </row>
    <row r="828">
      <c r="F828" s="2"/>
      <c r="G828" s="2"/>
      <c r="H828" s="2"/>
    </row>
    <row r="829">
      <c r="F829" s="2"/>
      <c r="G829" s="2"/>
      <c r="H829" s="2"/>
    </row>
    <row r="830">
      <c r="F830" s="2"/>
      <c r="G830" s="2"/>
      <c r="H830" s="2"/>
    </row>
    <row r="831">
      <c r="F831" s="2"/>
      <c r="G831" s="2"/>
      <c r="H831" s="2"/>
    </row>
    <row r="832">
      <c r="F832" s="2"/>
      <c r="G832" s="2"/>
      <c r="H832" s="2"/>
    </row>
    <row r="833">
      <c r="F833" s="2"/>
      <c r="G833" s="2"/>
      <c r="H833" s="2"/>
    </row>
    <row r="834">
      <c r="F834" s="2"/>
      <c r="G834" s="2"/>
      <c r="H834" s="2"/>
    </row>
    <row r="835">
      <c r="F835" s="2"/>
      <c r="G835" s="2"/>
      <c r="H835" s="2"/>
    </row>
    <row r="836">
      <c r="F836" s="2"/>
      <c r="G836" s="2"/>
      <c r="H836" s="2"/>
    </row>
    <row r="837">
      <c r="F837" s="2"/>
      <c r="G837" s="2"/>
      <c r="H837" s="2"/>
    </row>
    <row r="838">
      <c r="F838" s="2"/>
      <c r="G838" s="2"/>
      <c r="H838" s="2"/>
    </row>
    <row r="839">
      <c r="F839" s="2"/>
      <c r="G839" s="2"/>
      <c r="H839" s="2"/>
    </row>
    <row r="840">
      <c r="F840" s="2"/>
      <c r="G840" s="2"/>
      <c r="H840" s="2"/>
    </row>
    <row r="841">
      <c r="F841" s="2"/>
      <c r="G841" s="2"/>
      <c r="H841" s="2"/>
    </row>
    <row r="842">
      <c r="F842" s="2"/>
      <c r="G842" s="2"/>
      <c r="H842" s="2"/>
    </row>
    <row r="843">
      <c r="F843" s="2"/>
      <c r="G843" s="2"/>
      <c r="H843" s="2"/>
    </row>
    <row r="844">
      <c r="F844" s="2"/>
      <c r="G844" s="2"/>
      <c r="H844" s="2"/>
    </row>
    <row r="845">
      <c r="F845" s="2"/>
      <c r="G845" s="2"/>
      <c r="H845" s="2"/>
    </row>
    <row r="846">
      <c r="F846" s="2"/>
      <c r="G846" s="2"/>
      <c r="H846" s="2"/>
    </row>
    <row r="847">
      <c r="F847" s="2"/>
      <c r="G847" s="2"/>
      <c r="H847" s="2"/>
    </row>
    <row r="848">
      <c r="F848" s="2"/>
      <c r="G848" s="2"/>
      <c r="H848" s="2"/>
    </row>
    <row r="849">
      <c r="F849" s="2"/>
      <c r="G849" s="2"/>
      <c r="H849" s="2"/>
    </row>
    <row r="850">
      <c r="F850" s="2"/>
      <c r="G850" s="2"/>
      <c r="H850" s="2"/>
    </row>
    <row r="851">
      <c r="F851" s="2"/>
      <c r="G851" s="2"/>
      <c r="H851" s="2"/>
    </row>
    <row r="852">
      <c r="F852" s="2"/>
      <c r="G852" s="2"/>
      <c r="H852" s="2"/>
    </row>
    <row r="853">
      <c r="F853" s="2"/>
      <c r="G853" s="2"/>
      <c r="H853" s="2"/>
    </row>
    <row r="854">
      <c r="F854" s="2"/>
      <c r="G854" s="2"/>
      <c r="H854" s="2"/>
    </row>
    <row r="855">
      <c r="F855" s="2"/>
      <c r="G855" s="2"/>
      <c r="H855" s="2"/>
    </row>
    <row r="856">
      <c r="F856" s="2"/>
      <c r="G856" s="2"/>
      <c r="H856" s="2"/>
    </row>
    <row r="857">
      <c r="F857" s="2"/>
      <c r="G857" s="2"/>
      <c r="H857" s="2"/>
    </row>
    <row r="858">
      <c r="F858" s="2"/>
      <c r="G858" s="2"/>
      <c r="H858" s="2"/>
    </row>
    <row r="859">
      <c r="F859" s="2"/>
      <c r="G859" s="2"/>
      <c r="H859" s="2"/>
    </row>
    <row r="860">
      <c r="F860" s="2"/>
      <c r="G860" s="2"/>
      <c r="H860" s="2"/>
    </row>
    <row r="861">
      <c r="F861" s="2"/>
      <c r="G861" s="2"/>
      <c r="H861" s="2"/>
    </row>
    <row r="862">
      <c r="F862" s="2"/>
      <c r="G862" s="2"/>
      <c r="H862" s="2"/>
    </row>
    <row r="863">
      <c r="F863" s="2"/>
      <c r="G863" s="2"/>
      <c r="H863" s="2"/>
    </row>
    <row r="864">
      <c r="F864" s="2"/>
      <c r="G864" s="2"/>
      <c r="H864" s="2"/>
    </row>
    <row r="865">
      <c r="F865" s="2"/>
      <c r="G865" s="2"/>
      <c r="H865" s="2"/>
    </row>
    <row r="866">
      <c r="F866" s="2"/>
      <c r="G866" s="2"/>
      <c r="H866" s="2"/>
    </row>
    <row r="867">
      <c r="F867" s="2"/>
      <c r="G867" s="2"/>
      <c r="H867" s="2"/>
    </row>
    <row r="868">
      <c r="F868" s="2"/>
      <c r="G868" s="2"/>
      <c r="H868" s="2"/>
    </row>
    <row r="869">
      <c r="F869" s="2"/>
      <c r="G869" s="2"/>
      <c r="H869" s="2"/>
    </row>
    <row r="870">
      <c r="F870" s="2"/>
      <c r="G870" s="2"/>
      <c r="H870" s="2"/>
    </row>
    <row r="871">
      <c r="F871" s="2"/>
      <c r="G871" s="2"/>
      <c r="H871" s="2"/>
    </row>
    <row r="872">
      <c r="F872" s="2"/>
      <c r="G872" s="2"/>
      <c r="H872" s="2"/>
    </row>
    <row r="873">
      <c r="F873" s="2"/>
      <c r="G873" s="2"/>
      <c r="H873" s="2"/>
    </row>
    <row r="874">
      <c r="F874" s="2"/>
      <c r="G874" s="2"/>
      <c r="H874" s="2"/>
    </row>
    <row r="875">
      <c r="F875" s="2"/>
      <c r="G875" s="2"/>
      <c r="H875" s="2"/>
    </row>
    <row r="876">
      <c r="F876" s="2"/>
      <c r="G876" s="2"/>
      <c r="H876" s="2"/>
    </row>
    <row r="877">
      <c r="F877" s="2"/>
      <c r="G877" s="2"/>
      <c r="H877" s="2"/>
    </row>
    <row r="878">
      <c r="F878" s="2"/>
      <c r="G878" s="2"/>
      <c r="H878" s="2"/>
    </row>
    <row r="879">
      <c r="F879" s="2"/>
      <c r="G879" s="2"/>
      <c r="H879" s="2"/>
    </row>
    <row r="880">
      <c r="F880" s="2"/>
      <c r="G880" s="2"/>
      <c r="H880" s="2"/>
    </row>
    <row r="881">
      <c r="F881" s="2"/>
      <c r="G881" s="2"/>
      <c r="H881" s="2"/>
    </row>
    <row r="882">
      <c r="F882" s="2"/>
      <c r="G882" s="2"/>
      <c r="H882" s="2"/>
    </row>
    <row r="883">
      <c r="F883" s="2"/>
      <c r="G883" s="2"/>
      <c r="H883" s="2"/>
    </row>
    <row r="884">
      <c r="F884" s="2"/>
      <c r="G884" s="2"/>
      <c r="H884" s="2"/>
    </row>
    <row r="885">
      <c r="F885" s="2"/>
      <c r="G885" s="2"/>
      <c r="H885" s="2"/>
    </row>
    <row r="886">
      <c r="F886" s="2"/>
      <c r="G886" s="2"/>
      <c r="H886" s="2"/>
    </row>
    <row r="887">
      <c r="F887" s="2"/>
      <c r="G887" s="2"/>
      <c r="H887" s="2"/>
    </row>
    <row r="888">
      <c r="F888" s="2"/>
      <c r="G888" s="2"/>
      <c r="H888" s="2"/>
    </row>
    <row r="889">
      <c r="F889" s="2"/>
      <c r="G889" s="2"/>
      <c r="H889" s="2"/>
    </row>
    <row r="890">
      <c r="F890" s="2"/>
      <c r="G890" s="2"/>
      <c r="H890" s="2"/>
    </row>
    <row r="891">
      <c r="F891" s="2"/>
      <c r="G891" s="2"/>
      <c r="H891" s="2"/>
    </row>
    <row r="892">
      <c r="F892" s="2"/>
      <c r="G892" s="2"/>
      <c r="H892" s="2"/>
    </row>
    <row r="893">
      <c r="F893" s="2"/>
      <c r="G893" s="2"/>
      <c r="H893" s="2"/>
    </row>
    <row r="894">
      <c r="F894" s="2"/>
      <c r="G894" s="2"/>
      <c r="H894" s="2"/>
    </row>
    <row r="895">
      <c r="F895" s="2"/>
      <c r="G895" s="2"/>
      <c r="H895" s="2"/>
    </row>
    <row r="896">
      <c r="F896" s="2"/>
      <c r="G896" s="2"/>
      <c r="H896" s="2"/>
    </row>
    <row r="897">
      <c r="F897" s="2"/>
      <c r="G897" s="2"/>
      <c r="H897" s="2"/>
    </row>
    <row r="898">
      <c r="F898" s="2"/>
      <c r="G898" s="2"/>
      <c r="H898" s="2"/>
    </row>
    <row r="899">
      <c r="F899" s="2"/>
      <c r="G899" s="2"/>
      <c r="H899" s="2"/>
    </row>
    <row r="900">
      <c r="F900" s="2"/>
      <c r="G900" s="2"/>
      <c r="H900" s="2"/>
    </row>
    <row r="901">
      <c r="F901" s="2"/>
      <c r="G901" s="2"/>
      <c r="H901" s="2"/>
    </row>
    <row r="902">
      <c r="F902" s="2"/>
      <c r="G902" s="2"/>
      <c r="H902" s="2"/>
    </row>
    <row r="903">
      <c r="F903" s="2"/>
      <c r="G903" s="2"/>
      <c r="H903" s="2"/>
    </row>
    <row r="904">
      <c r="F904" s="2"/>
      <c r="G904" s="2"/>
      <c r="H904" s="2"/>
    </row>
    <row r="905">
      <c r="F905" s="2"/>
      <c r="G905" s="2"/>
      <c r="H905" s="2"/>
    </row>
    <row r="906">
      <c r="F906" s="2"/>
      <c r="G906" s="2"/>
      <c r="H906" s="2"/>
    </row>
    <row r="907">
      <c r="F907" s="2"/>
      <c r="G907" s="2"/>
      <c r="H907" s="2"/>
    </row>
    <row r="908">
      <c r="F908" s="2"/>
      <c r="G908" s="2"/>
      <c r="H908" s="2"/>
    </row>
    <row r="909">
      <c r="F909" s="2"/>
      <c r="G909" s="2"/>
      <c r="H909" s="2"/>
    </row>
    <row r="910">
      <c r="F910" s="2"/>
      <c r="G910" s="2"/>
      <c r="H910" s="2"/>
    </row>
    <row r="911">
      <c r="F911" s="2"/>
      <c r="G911" s="2"/>
      <c r="H911" s="2"/>
    </row>
    <row r="912">
      <c r="F912" s="2"/>
      <c r="G912" s="2"/>
      <c r="H912" s="2"/>
    </row>
    <row r="913">
      <c r="F913" s="2"/>
      <c r="G913" s="2"/>
      <c r="H913" s="2"/>
    </row>
    <row r="914">
      <c r="F914" s="2"/>
      <c r="G914" s="2"/>
      <c r="H914" s="2"/>
    </row>
    <row r="915">
      <c r="F915" s="2"/>
      <c r="G915" s="2"/>
      <c r="H915" s="2"/>
    </row>
    <row r="916">
      <c r="F916" s="2"/>
      <c r="G916" s="2"/>
      <c r="H916" s="2"/>
    </row>
    <row r="917">
      <c r="F917" s="2"/>
      <c r="G917" s="2"/>
      <c r="H917" s="2"/>
    </row>
    <row r="918">
      <c r="F918" s="2"/>
      <c r="G918" s="2"/>
      <c r="H918" s="2"/>
    </row>
    <row r="919">
      <c r="F919" s="2"/>
      <c r="G919" s="2"/>
      <c r="H919" s="2"/>
    </row>
    <row r="920">
      <c r="F920" s="2"/>
      <c r="G920" s="2"/>
      <c r="H920" s="2"/>
    </row>
    <row r="921">
      <c r="F921" s="2"/>
      <c r="G921" s="2"/>
      <c r="H921" s="2"/>
    </row>
    <row r="922">
      <c r="F922" s="2"/>
      <c r="G922" s="2"/>
      <c r="H922" s="2"/>
    </row>
    <row r="923">
      <c r="F923" s="2"/>
      <c r="G923" s="2"/>
      <c r="H923" s="2"/>
    </row>
    <row r="924">
      <c r="F924" s="2"/>
      <c r="G924" s="2"/>
      <c r="H924" s="2"/>
    </row>
    <row r="925">
      <c r="F925" s="2"/>
      <c r="G925" s="2"/>
      <c r="H925" s="2"/>
    </row>
    <row r="926">
      <c r="F926" s="2"/>
      <c r="G926" s="2"/>
      <c r="H926" s="2"/>
    </row>
    <row r="927">
      <c r="F927" s="2"/>
      <c r="G927" s="2"/>
      <c r="H927" s="2"/>
    </row>
    <row r="928">
      <c r="F928" s="2"/>
      <c r="G928" s="2"/>
      <c r="H928" s="2"/>
    </row>
    <row r="929">
      <c r="F929" s="2"/>
      <c r="G929" s="2"/>
      <c r="H929" s="2"/>
    </row>
    <row r="930">
      <c r="F930" s="2"/>
      <c r="G930" s="2"/>
      <c r="H930" s="2"/>
    </row>
    <row r="931">
      <c r="F931" s="2"/>
      <c r="G931" s="2"/>
      <c r="H931" s="2"/>
    </row>
    <row r="932">
      <c r="F932" s="2"/>
      <c r="G932" s="2"/>
      <c r="H932" s="2"/>
    </row>
    <row r="933">
      <c r="F933" s="2"/>
      <c r="G933" s="2"/>
      <c r="H933" s="2"/>
    </row>
    <row r="934">
      <c r="F934" s="2"/>
      <c r="G934" s="2"/>
      <c r="H934" s="2"/>
    </row>
    <row r="935">
      <c r="F935" s="2"/>
      <c r="G935" s="2"/>
      <c r="H935" s="2"/>
    </row>
    <row r="936">
      <c r="F936" s="2"/>
      <c r="G936" s="2"/>
      <c r="H936" s="2"/>
    </row>
    <row r="937">
      <c r="F937" s="2"/>
      <c r="G937" s="2"/>
      <c r="H937" s="2"/>
    </row>
    <row r="938">
      <c r="F938" s="2"/>
      <c r="G938" s="2"/>
      <c r="H938" s="2"/>
    </row>
    <row r="939">
      <c r="F939" s="2"/>
      <c r="G939" s="2"/>
      <c r="H939" s="2"/>
    </row>
    <row r="940">
      <c r="F940" s="2"/>
      <c r="G940" s="2"/>
      <c r="H940" s="2"/>
    </row>
    <row r="941">
      <c r="F941" s="2"/>
      <c r="G941" s="2"/>
      <c r="H941" s="2"/>
    </row>
    <row r="942">
      <c r="F942" s="2"/>
      <c r="G942" s="2"/>
      <c r="H942" s="2"/>
    </row>
    <row r="943">
      <c r="F943" s="2"/>
      <c r="G943" s="2"/>
      <c r="H943" s="2"/>
    </row>
    <row r="944">
      <c r="F944" s="2"/>
      <c r="G944" s="2"/>
      <c r="H944" s="2"/>
    </row>
    <row r="945">
      <c r="F945" s="2"/>
      <c r="G945" s="2"/>
      <c r="H945" s="2"/>
    </row>
    <row r="946">
      <c r="F946" s="2"/>
      <c r="G946" s="2"/>
      <c r="H946" s="2"/>
    </row>
    <row r="947">
      <c r="F947" s="2"/>
      <c r="G947" s="2"/>
      <c r="H947" s="2"/>
    </row>
    <row r="948">
      <c r="F948" s="2"/>
      <c r="G948" s="2"/>
      <c r="H948" s="2"/>
    </row>
    <row r="949">
      <c r="F949" s="2"/>
      <c r="G949" s="2"/>
      <c r="H949" s="2"/>
    </row>
    <row r="950">
      <c r="F950" s="2"/>
      <c r="G950" s="2"/>
      <c r="H950" s="2"/>
    </row>
    <row r="951">
      <c r="F951" s="2"/>
      <c r="G951" s="2"/>
      <c r="H951" s="2"/>
    </row>
    <row r="952">
      <c r="F952" s="2"/>
      <c r="G952" s="2"/>
      <c r="H952" s="2"/>
    </row>
    <row r="953">
      <c r="F953" s="2"/>
      <c r="G953" s="2"/>
      <c r="H953" s="2"/>
    </row>
    <row r="954">
      <c r="F954" s="2"/>
      <c r="G954" s="2"/>
      <c r="H954" s="2"/>
    </row>
    <row r="955">
      <c r="F955" s="2"/>
      <c r="G955" s="2"/>
      <c r="H955" s="2"/>
    </row>
    <row r="956">
      <c r="F956" s="2"/>
      <c r="G956" s="2"/>
      <c r="H956" s="2"/>
    </row>
    <row r="957">
      <c r="F957" s="2"/>
      <c r="G957" s="2"/>
      <c r="H957" s="2"/>
    </row>
    <row r="958">
      <c r="F958" s="2"/>
      <c r="G958" s="2"/>
      <c r="H958" s="2"/>
    </row>
    <row r="959">
      <c r="F959" s="2"/>
      <c r="G959" s="2"/>
      <c r="H959" s="2"/>
    </row>
    <row r="960">
      <c r="F960" s="2"/>
      <c r="G960" s="2"/>
      <c r="H960" s="2"/>
    </row>
    <row r="961">
      <c r="F961" s="2"/>
      <c r="G961" s="2"/>
      <c r="H961" s="2"/>
    </row>
    <row r="962">
      <c r="F962" s="2"/>
      <c r="G962" s="2"/>
      <c r="H962" s="2"/>
    </row>
    <row r="963">
      <c r="F963" s="2"/>
      <c r="G963" s="2"/>
      <c r="H963" s="2"/>
    </row>
    <row r="964">
      <c r="F964" s="2"/>
      <c r="G964" s="2"/>
      <c r="H964" s="2"/>
    </row>
    <row r="965">
      <c r="F965" s="2"/>
      <c r="G965" s="2"/>
      <c r="H965" s="2"/>
    </row>
    <row r="966">
      <c r="F966" s="2"/>
      <c r="G966" s="2"/>
      <c r="H966" s="2"/>
    </row>
    <row r="967">
      <c r="F967" s="2"/>
      <c r="G967" s="2"/>
      <c r="H967" s="2"/>
    </row>
    <row r="968">
      <c r="F968" s="2"/>
      <c r="G968" s="2"/>
      <c r="H968" s="2"/>
    </row>
    <row r="969">
      <c r="F969" s="2"/>
      <c r="G969" s="2"/>
      <c r="H969" s="2"/>
    </row>
    <row r="970">
      <c r="F970" s="2"/>
      <c r="G970" s="2"/>
      <c r="H970" s="2"/>
    </row>
    <row r="971">
      <c r="F971" s="2"/>
      <c r="G971" s="2"/>
      <c r="H971" s="2"/>
    </row>
    <row r="972">
      <c r="F972" s="2"/>
      <c r="G972" s="2"/>
      <c r="H972" s="2"/>
    </row>
    <row r="973">
      <c r="F973" s="2"/>
      <c r="G973" s="2"/>
      <c r="H973" s="2"/>
    </row>
    <row r="974">
      <c r="F974" s="2"/>
      <c r="G974" s="2"/>
      <c r="H974" s="2"/>
    </row>
    <row r="975">
      <c r="F975" s="2"/>
      <c r="G975" s="2"/>
      <c r="H975" s="2"/>
    </row>
    <row r="976">
      <c r="F976" s="2"/>
      <c r="G976" s="2"/>
      <c r="H976" s="2"/>
    </row>
    <row r="977">
      <c r="F977" s="2"/>
      <c r="G977" s="2"/>
      <c r="H977" s="2"/>
    </row>
    <row r="978">
      <c r="F978" s="2"/>
      <c r="G978" s="2"/>
      <c r="H978" s="2"/>
    </row>
    <row r="979">
      <c r="F979" s="2"/>
      <c r="G979" s="2"/>
      <c r="H979" s="2"/>
    </row>
    <row r="980">
      <c r="F980" s="2"/>
      <c r="G980" s="2"/>
      <c r="H980" s="2"/>
    </row>
    <row r="981">
      <c r="F981" s="2"/>
      <c r="G981" s="2"/>
      <c r="H981" s="2"/>
    </row>
    <row r="982">
      <c r="F982" s="2"/>
      <c r="G982" s="2"/>
      <c r="H982" s="2"/>
    </row>
    <row r="983">
      <c r="F983" s="2"/>
      <c r="G983" s="2"/>
      <c r="H983" s="2"/>
    </row>
    <row r="984">
      <c r="F984" s="2"/>
      <c r="G984" s="2"/>
      <c r="H984" s="2"/>
    </row>
    <row r="985">
      <c r="F985" s="2"/>
      <c r="G985" s="2"/>
      <c r="H985" s="2"/>
    </row>
    <row r="986">
      <c r="F986" s="2"/>
      <c r="G986" s="2"/>
      <c r="H986" s="2"/>
    </row>
    <row r="987">
      <c r="F987" s="2"/>
      <c r="G987" s="2"/>
      <c r="H987" s="2"/>
    </row>
    <row r="988">
      <c r="F988" s="2"/>
      <c r="G988" s="2"/>
      <c r="H988" s="2"/>
    </row>
    <row r="989">
      <c r="F989" s="2"/>
      <c r="G989" s="2"/>
      <c r="H989" s="2"/>
    </row>
    <row r="990">
      <c r="F990" s="2"/>
      <c r="G990" s="2"/>
      <c r="H990" s="2"/>
    </row>
    <row r="991">
      <c r="F991" s="2"/>
      <c r="G991" s="2"/>
      <c r="H991" s="2"/>
    </row>
    <row r="992">
      <c r="F992" s="2"/>
      <c r="G992" s="2"/>
      <c r="H992" s="2"/>
    </row>
    <row r="993">
      <c r="F993" s="2"/>
      <c r="G993" s="2"/>
      <c r="H993" s="2"/>
    </row>
    <row r="994">
      <c r="F994" s="2"/>
      <c r="G994" s="2"/>
      <c r="H994" s="2"/>
    </row>
    <row r="995">
      <c r="F995" s="2"/>
      <c r="G995" s="2"/>
      <c r="H995" s="2"/>
    </row>
    <row r="996">
      <c r="F996" s="2"/>
      <c r="G996" s="2"/>
      <c r="H996" s="2"/>
    </row>
    <row r="997">
      <c r="F997" s="2"/>
      <c r="G997" s="2"/>
      <c r="H997" s="2"/>
    </row>
    <row r="998">
      <c r="F998" s="2"/>
      <c r="G998" s="2"/>
      <c r="H998" s="2"/>
    </row>
    <row r="999">
      <c r="F999" s="2"/>
      <c r="G999" s="2"/>
      <c r="H999" s="2"/>
    </row>
    <row r="1000">
      <c r="F1000" s="2"/>
      <c r="G1000" s="2"/>
      <c r="H1000" s="2"/>
    </row>
  </sheetData>
  <mergeCells count="29">
    <mergeCell ref="A2:C3"/>
    <mergeCell ref="B6:B7"/>
    <mergeCell ref="B8:B9"/>
    <mergeCell ref="B10:B13"/>
    <mergeCell ref="B14:B17"/>
    <mergeCell ref="B18:B20"/>
    <mergeCell ref="B21:B22"/>
    <mergeCell ref="B23:B24"/>
    <mergeCell ref="B25:B26"/>
    <mergeCell ref="B27:B28"/>
    <mergeCell ref="B29:B30"/>
    <mergeCell ref="B31:B32"/>
    <mergeCell ref="B33:B34"/>
    <mergeCell ref="B35:B36"/>
    <mergeCell ref="B51:B52"/>
    <mergeCell ref="B53:B54"/>
    <mergeCell ref="B55:B57"/>
    <mergeCell ref="B58:B60"/>
    <mergeCell ref="B61:B63"/>
    <mergeCell ref="B64:B66"/>
    <mergeCell ref="B67:B68"/>
    <mergeCell ref="B70:E70"/>
    <mergeCell ref="B37:B38"/>
    <mergeCell ref="B39:B40"/>
    <mergeCell ref="B41:B42"/>
    <mergeCell ref="B43:B44"/>
    <mergeCell ref="B45:B46"/>
    <mergeCell ref="B47:B48"/>
    <mergeCell ref="B49:B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F1" s="40"/>
    </row>
    <row r="2">
      <c r="F2" s="40"/>
    </row>
    <row r="3">
      <c r="A3" s="3" t="s">
        <v>0</v>
      </c>
      <c r="B3" s="4"/>
      <c r="C3" s="5"/>
      <c r="F3" s="40"/>
    </row>
    <row r="4">
      <c r="A4" s="6"/>
      <c r="B4" s="7"/>
      <c r="C4" s="8"/>
      <c r="F4" s="40"/>
    </row>
    <row r="5">
      <c r="F5" s="40"/>
    </row>
    <row r="6" ht="18.0" customHeight="1">
      <c r="A6" s="9" t="s">
        <v>1</v>
      </c>
      <c r="B6" s="9" t="s">
        <v>2</v>
      </c>
      <c r="C6" s="9" t="s">
        <v>3</v>
      </c>
      <c r="D6" s="9" t="s">
        <v>4</v>
      </c>
      <c r="E6" s="9" t="s">
        <v>5</v>
      </c>
      <c r="F6" s="41" t="s">
        <v>6</v>
      </c>
      <c r="G6" s="42" t="s">
        <v>7</v>
      </c>
      <c r="H6" s="9" t="s">
        <v>8</v>
      </c>
      <c r="I6" s="11"/>
    </row>
    <row r="7">
      <c r="A7" s="12">
        <v>1.0</v>
      </c>
      <c r="B7" s="43">
        <v>45752.0</v>
      </c>
      <c r="C7" s="14" t="s">
        <v>28</v>
      </c>
      <c r="D7" s="16" t="s">
        <v>11</v>
      </c>
      <c r="E7" s="16" t="s">
        <v>22</v>
      </c>
      <c r="F7" s="44">
        <v>0.0</v>
      </c>
      <c r="G7" s="45">
        <v>79.0</v>
      </c>
      <c r="H7" s="19"/>
      <c r="I7" s="12"/>
    </row>
    <row r="8">
      <c r="A8" s="12">
        <v>2.0</v>
      </c>
      <c r="B8" s="20"/>
      <c r="C8" s="14" t="s">
        <v>27</v>
      </c>
      <c r="D8" s="15" t="s">
        <v>11</v>
      </c>
      <c r="E8" s="16" t="s">
        <v>22</v>
      </c>
      <c r="F8" s="44">
        <v>633437.0</v>
      </c>
      <c r="G8" s="45">
        <v>251.0</v>
      </c>
      <c r="H8" s="19"/>
      <c r="I8" s="12"/>
    </row>
    <row r="9">
      <c r="A9" s="12">
        <v>3.0</v>
      </c>
      <c r="B9" s="13">
        <v>45753.0</v>
      </c>
      <c r="C9" s="14" t="s">
        <v>10</v>
      </c>
      <c r="D9" s="15" t="s">
        <v>11</v>
      </c>
      <c r="E9" s="16" t="s">
        <v>16</v>
      </c>
      <c r="F9" s="44">
        <v>3709525.0</v>
      </c>
      <c r="G9" s="45">
        <v>191.0</v>
      </c>
      <c r="H9" s="19"/>
      <c r="I9" s="12"/>
    </row>
    <row r="10">
      <c r="A10" s="12">
        <v>4.0</v>
      </c>
      <c r="B10" s="21"/>
      <c r="C10" s="14" t="s">
        <v>29</v>
      </c>
      <c r="D10" s="16" t="s">
        <v>11</v>
      </c>
      <c r="E10" s="16" t="s">
        <v>16</v>
      </c>
      <c r="F10" s="44">
        <v>516524.0</v>
      </c>
      <c r="G10" s="45">
        <v>162.0</v>
      </c>
      <c r="H10" s="19"/>
      <c r="I10" s="12"/>
    </row>
    <row r="11">
      <c r="A11" s="12">
        <v>5.0</v>
      </c>
      <c r="B11" s="20"/>
      <c r="C11" s="14" t="s">
        <v>27</v>
      </c>
      <c r="D11" s="15" t="s">
        <v>11</v>
      </c>
      <c r="E11" s="16" t="s">
        <v>22</v>
      </c>
      <c r="F11" s="44">
        <v>665933.0</v>
      </c>
      <c r="G11" s="46">
        <v>180.0</v>
      </c>
      <c r="H11" s="19"/>
      <c r="I11" s="12"/>
    </row>
    <row r="12">
      <c r="A12" s="12">
        <v>6.0</v>
      </c>
      <c r="B12" s="13">
        <v>45754.0</v>
      </c>
      <c r="C12" s="14" t="s">
        <v>10</v>
      </c>
      <c r="D12" s="15" t="s">
        <v>11</v>
      </c>
      <c r="E12" s="16" t="s">
        <v>16</v>
      </c>
      <c r="F12" s="44">
        <v>502820.0</v>
      </c>
      <c r="G12" s="47">
        <v>115.0</v>
      </c>
      <c r="H12" s="19"/>
      <c r="I12" s="12"/>
    </row>
    <row r="13">
      <c r="A13" s="12">
        <v>7.0</v>
      </c>
      <c r="B13" s="21"/>
      <c r="C13" s="14" t="s">
        <v>29</v>
      </c>
      <c r="D13" s="15" t="s">
        <v>11</v>
      </c>
      <c r="E13" s="16" t="s">
        <v>16</v>
      </c>
      <c r="F13" s="44">
        <v>528976.0</v>
      </c>
      <c r="G13" s="47">
        <v>67.0</v>
      </c>
      <c r="H13" s="19"/>
      <c r="I13" s="12"/>
    </row>
    <row r="14">
      <c r="A14" s="12">
        <v>8.0</v>
      </c>
      <c r="B14" s="20"/>
      <c r="C14" s="14" t="s">
        <v>27</v>
      </c>
      <c r="D14" s="15" t="s">
        <v>11</v>
      </c>
      <c r="E14" s="48" t="s">
        <v>22</v>
      </c>
      <c r="F14" s="44">
        <v>540016.0</v>
      </c>
      <c r="G14" s="47">
        <v>168.0</v>
      </c>
      <c r="H14" s="19"/>
      <c r="I14" s="12"/>
    </row>
    <row r="15">
      <c r="A15" s="12">
        <v>9.0</v>
      </c>
      <c r="B15" s="13">
        <v>45755.0</v>
      </c>
      <c r="C15" s="14" t="s">
        <v>30</v>
      </c>
      <c r="D15" s="16" t="s">
        <v>11</v>
      </c>
      <c r="E15" s="16" t="s">
        <v>16</v>
      </c>
      <c r="F15" s="44">
        <v>547960.0</v>
      </c>
      <c r="G15" s="47">
        <v>51.0</v>
      </c>
      <c r="H15" s="18"/>
      <c r="I15" s="12"/>
    </row>
    <row r="16">
      <c r="A16" s="12">
        <v>10.0</v>
      </c>
      <c r="B16" s="21"/>
      <c r="C16" s="14" t="s">
        <v>13</v>
      </c>
      <c r="D16" s="15" t="s">
        <v>11</v>
      </c>
      <c r="E16" s="48" t="s">
        <v>22</v>
      </c>
      <c r="F16" s="44">
        <v>1090941.0</v>
      </c>
      <c r="G16" s="47">
        <v>314.0</v>
      </c>
      <c r="H16" s="19"/>
      <c r="I16" s="12"/>
    </row>
    <row r="17">
      <c r="A17" s="12">
        <v>11.0</v>
      </c>
      <c r="B17" s="13">
        <v>45756.0</v>
      </c>
      <c r="C17" s="14" t="s">
        <v>30</v>
      </c>
      <c r="D17" s="15" t="s">
        <v>11</v>
      </c>
      <c r="E17" s="16" t="s">
        <v>16</v>
      </c>
      <c r="F17" s="44">
        <v>0.0</v>
      </c>
      <c r="G17" s="47">
        <v>47.0</v>
      </c>
      <c r="H17" s="19"/>
      <c r="I17" s="12"/>
    </row>
    <row r="18">
      <c r="A18" s="12">
        <v>12.0</v>
      </c>
      <c r="B18" s="21"/>
      <c r="C18" s="14" t="s">
        <v>13</v>
      </c>
      <c r="D18" s="15" t="s">
        <v>11</v>
      </c>
      <c r="E18" s="48" t="s">
        <v>22</v>
      </c>
      <c r="F18" s="44">
        <v>0.0</v>
      </c>
      <c r="G18" s="47">
        <v>255.0</v>
      </c>
      <c r="H18" s="19"/>
      <c r="I18" s="12"/>
    </row>
    <row r="19">
      <c r="A19" s="12">
        <v>13.0</v>
      </c>
      <c r="B19" s="13">
        <v>45757.0</v>
      </c>
      <c r="C19" s="14" t="s">
        <v>30</v>
      </c>
      <c r="D19" s="15" t="s">
        <v>11</v>
      </c>
      <c r="E19" s="16" t="s">
        <v>16</v>
      </c>
      <c r="F19" s="44">
        <v>481610.0</v>
      </c>
      <c r="G19" s="47">
        <v>116.0</v>
      </c>
      <c r="H19" s="23"/>
      <c r="I19" s="12"/>
    </row>
    <row r="20">
      <c r="A20" s="12">
        <v>14.0</v>
      </c>
      <c r="B20" s="21"/>
      <c r="C20" s="14" t="s">
        <v>13</v>
      </c>
      <c r="D20" s="15" t="s">
        <v>11</v>
      </c>
      <c r="E20" s="48" t="s">
        <v>22</v>
      </c>
      <c r="F20" s="44">
        <v>0.0</v>
      </c>
      <c r="G20" s="47">
        <v>185.0</v>
      </c>
      <c r="H20" s="19"/>
      <c r="I20" s="12"/>
    </row>
    <row r="21">
      <c r="A21" s="12">
        <v>15.0</v>
      </c>
      <c r="B21" s="13">
        <v>45758.0</v>
      </c>
      <c r="C21" s="14" t="s">
        <v>30</v>
      </c>
      <c r="D21" s="15" t="s">
        <v>11</v>
      </c>
      <c r="E21" s="16" t="s">
        <v>16</v>
      </c>
      <c r="F21" s="44">
        <v>0.0</v>
      </c>
      <c r="G21" s="45">
        <v>53.0</v>
      </c>
      <c r="H21" s="49"/>
      <c r="I21" s="12"/>
    </row>
    <row r="22">
      <c r="A22" s="12">
        <v>16.0</v>
      </c>
      <c r="B22" s="21"/>
      <c r="C22" s="14" t="s">
        <v>13</v>
      </c>
      <c r="D22" s="15" t="s">
        <v>11</v>
      </c>
      <c r="E22" s="48" t="s">
        <v>22</v>
      </c>
      <c r="F22" s="44">
        <v>529724.0</v>
      </c>
      <c r="G22" s="46">
        <v>215.0</v>
      </c>
      <c r="H22" s="49"/>
      <c r="I22" s="12"/>
    </row>
    <row r="23">
      <c r="A23" s="12">
        <v>17.0</v>
      </c>
      <c r="B23" s="13">
        <v>45759.0</v>
      </c>
      <c r="C23" s="14" t="s">
        <v>30</v>
      </c>
      <c r="D23" s="15" t="s">
        <v>11</v>
      </c>
      <c r="E23" s="16" t="s">
        <v>16</v>
      </c>
      <c r="F23" s="44">
        <v>1.1734666E7</v>
      </c>
      <c r="G23" s="45">
        <v>58.0</v>
      </c>
      <c r="H23" s="49"/>
      <c r="I23" s="12"/>
    </row>
    <row r="24">
      <c r="A24" s="12">
        <v>18.0</v>
      </c>
      <c r="B24" s="21"/>
      <c r="C24" s="14" t="s">
        <v>13</v>
      </c>
      <c r="D24" s="15" t="s">
        <v>11</v>
      </c>
      <c r="E24" s="48" t="s">
        <v>22</v>
      </c>
      <c r="F24" s="44">
        <v>517818.0</v>
      </c>
      <c r="G24" s="46">
        <v>316.0</v>
      </c>
      <c r="H24" s="49"/>
      <c r="I24" s="12"/>
    </row>
    <row r="25">
      <c r="A25" s="12">
        <v>19.0</v>
      </c>
      <c r="B25" s="13">
        <v>45760.0</v>
      </c>
      <c r="C25" s="14" t="s">
        <v>30</v>
      </c>
      <c r="D25" s="15" t="s">
        <v>11</v>
      </c>
      <c r="E25" s="16" t="s">
        <v>16</v>
      </c>
      <c r="F25" s="44">
        <v>552810.0</v>
      </c>
      <c r="G25" s="45">
        <v>71.0</v>
      </c>
      <c r="H25" s="49"/>
      <c r="I25" s="27"/>
    </row>
    <row r="26">
      <c r="A26" s="12">
        <v>20.0</v>
      </c>
      <c r="B26" s="21"/>
      <c r="C26" s="14" t="s">
        <v>13</v>
      </c>
      <c r="D26" s="15" t="s">
        <v>11</v>
      </c>
      <c r="E26" s="48" t="s">
        <v>22</v>
      </c>
      <c r="F26" s="44">
        <v>0.0</v>
      </c>
      <c r="G26" s="46">
        <v>319.0</v>
      </c>
      <c r="H26" s="49"/>
      <c r="I26" s="27"/>
    </row>
    <row r="27">
      <c r="A27" s="12">
        <v>21.0</v>
      </c>
      <c r="B27" s="13">
        <v>45761.0</v>
      </c>
      <c r="C27" s="14" t="s">
        <v>30</v>
      </c>
      <c r="D27" s="15" t="s">
        <v>11</v>
      </c>
      <c r="E27" s="16" t="s">
        <v>16</v>
      </c>
      <c r="F27" s="44">
        <v>0.0</v>
      </c>
      <c r="G27" s="45">
        <v>54.0</v>
      </c>
      <c r="H27" s="49"/>
      <c r="I27" s="27"/>
    </row>
    <row r="28">
      <c r="A28" s="12">
        <v>22.0</v>
      </c>
      <c r="B28" s="21"/>
      <c r="C28" s="14" t="s">
        <v>13</v>
      </c>
      <c r="D28" s="15" t="s">
        <v>11</v>
      </c>
      <c r="E28" s="48" t="s">
        <v>22</v>
      </c>
      <c r="F28" s="44">
        <v>0.0</v>
      </c>
      <c r="G28" s="46">
        <v>214.0</v>
      </c>
      <c r="H28" s="49"/>
      <c r="I28" s="27"/>
    </row>
    <row r="29">
      <c r="A29" s="12">
        <v>23.0</v>
      </c>
      <c r="B29" s="13">
        <v>45762.0</v>
      </c>
      <c r="C29" s="14" t="s">
        <v>30</v>
      </c>
      <c r="D29" s="15" t="s">
        <v>11</v>
      </c>
      <c r="E29" s="16" t="s">
        <v>16</v>
      </c>
      <c r="F29" s="44">
        <v>511830.0</v>
      </c>
      <c r="G29" s="45">
        <v>43.0</v>
      </c>
      <c r="H29" s="49"/>
      <c r="I29" s="27"/>
    </row>
    <row r="30">
      <c r="A30" s="12">
        <v>24.0</v>
      </c>
      <c r="B30" s="21"/>
      <c r="C30" s="14" t="s">
        <v>13</v>
      </c>
      <c r="D30" s="15" t="s">
        <v>11</v>
      </c>
      <c r="E30" s="48" t="s">
        <v>22</v>
      </c>
      <c r="F30" s="44">
        <v>0.0</v>
      </c>
      <c r="G30" s="46">
        <v>153.0</v>
      </c>
      <c r="H30" s="49"/>
      <c r="I30" s="27"/>
    </row>
    <row r="31">
      <c r="A31" s="12">
        <v>25.0</v>
      </c>
      <c r="B31" s="13">
        <v>45763.0</v>
      </c>
      <c r="C31" s="14" t="s">
        <v>30</v>
      </c>
      <c r="D31" s="15" t="s">
        <v>11</v>
      </c>
      <c r="E31" s="16" t="s">
        <v>16</v>
      </c>
      <c r="F31" s="44">
        <v>519820.0</v>
      </c>
      <c r="G31" s="45">
        <v>43.0</v>
      </c>
      <c r="H31" s="49"/>
      <c r="I31" s="27"/>
    </row>
    <row r="32">
      <c r="A32" s="12">
        <v>26.0</v>
      </c>
      <c r="B32" s="21"/>
      <c r="C32" s="14" t="s">
        <v>13</v>
      </c>
      <c r="D32" s="15" t="s">
        <v>11</v>
      </c>
      <c r="E32" s="48" t="s">
        <v>22</v>
      </c>
      <c r="F32" s="44">
        <v>519820.0</v>
      </c>
      <c r="G32" s="46">
        <v>175.0</v>
      </c>
      <c r="H32" s="49"/>
      <c r="I32" s="27"/>
    </row>
    <row r="33">
      <c r="A33" s="12">
        <v>27.0</v>
      </c>
      <c r="B33" s="13">
        <v>45764.0</v>
      </c>
      <c r="C33" s="14" t="s">
        <v>30</v>
      </c>
      <c r="D33" s="15" t="s">
        <v>11</v>
      </c>
      <c r="E33" s="16" t="s">
        <v>16</v>
      </c>
      <c r="F33" s="44">
        <v>548320.0</v>
      </c>
      <c r="G33" s="45">
        <v>27.0</v>
      </c>
      <c r="H33" s="49"/>
      <c r="I33" s="27"/>
    </row>
    <row r="34">
      <c r="A34" s="12">
        <v>28.0</v>
      </c>
      <c r="B34" s="21"/>
      <c r="C34" s="14" t="s">
        <v>13</v>
      </c>
      <c r="D34" s="15" t="s">
        <v>11</v>
      </c>
      <c r="E34" s="48" t="s">
        <v>22</v>
      </c>
      <c r="F34" s="44">
        <v>0.0</v>
      </c>
      <c r="G34" s="46">
        <v>186.0</v>
      </c>
      <c r="H34" s="49"/>
      <c r="I34" s="27"/>
    </row>
    <row r="35">
      <c r="A35" s="12">
        <v>29.0</v>
      </c>
      <c r="B35" s="13">
        <v>45765.0</v>
      </c>
      <c r="C35" s="14" t="s">
        <v>30</v>
      </c>
      <c r="D35" s="15" t="s">
        <v>11</v>
      </c>
      <c r="E35" s="16" t="s">
        <v>16</v>
      </c>
      <c r="F35" s="44">
        <v>458329.0</v>
      </c>
      <c r="G35" s="45">
        <v>98.0</v>
      </c>
      <c r="H35" s="49"/>
      <c r="I35" s="27"/>
    </row>
    <row r="36">
      <c r="A36" s="12">
        <v>30.0</v>
      </c>
      <c r="B36" s="21"/>
      <c r="C36" s="14" t="s">
        <v>13</v>
      </c>
      <c r="D36" s="15" t="s">
        <v>11</v>
      </c>
      <c r="E36" s="16" t="s">
        <v>22</v>
      </c>
      <c r="F36" s="44">
        <v>0.0</v>
      </c>
      <c r="G36" s="46">
        <v>148.0</v>
      </c>
      <c r="H36" s="49"/>
      <c r="I36" s="27"/>
    </row>
    <row r="37">
      <c r="A37" s="12">
        <v>31.0</v>
      </c>
      <c r="B37" s="50">
        <v>45766.0</v>
      </c>
      <c r="C37" s="14" t="s">
        <v>30</v>
      </c>
      <c r="D37" s="15" t="s">
        <v>11</v>
      </c>
      <c r="E37" s="48" t="s">
        <v>16</v>
      </c>
      <c r="F37" s="44">
        <v>349069.0</v>
      </c>
      <c r="G37" s="46">
        <v>73.0</v>
      </c>
      <c r="H37" s="49"/>
      <c r="I37" s="27"/>
    </row>
    <row r="38">
      <c r="A38" s="12"/>
      <c r="B38" s="13"/>
      <c r="C38" s="14" t="s">
        <v>13</v>
      </c>
      <c r="D38" s="15" t="s">
        <v>11</v>
      </c>
      <c r="E38" s="48" t="s">
        <v>22</v>
      </c>
      <c r="F38" s="44">
        <v>0.0</v>
      </c>
      <c r="G38" s="46">
        <v>184.0</v>
      </c>
      <c r="H38" s="49"/>
      <c r="I38" s="27"/>
    </row>
    <row r="39">
      <c r="A39" s="12">
        <v>32.0</v>
      </c>
      <c r="B39" s="13">
        <v>45767.0</v>
      </c>
      <c r="C39" s="14" t="s">
        <v>30</v>
      </c>
      <c r="D39" s="15" t="s">
        <v>11</v>
      </c>
      <c r="E39" s="16" t="s">
        <v>16</v>
      </c>
      <c r="F39" s="44">
        <v>492229.0</v>
      </c>
      <c r="G39" s="45">
        <v>77.0</v>
      </c>
      <c r="H39" s="49"/>
      <c r="I39" s="27"/>
    </row>
    <row r="40">
      <c r="A40" s="12">
        <v>33.0</v>
      </c>
      <c r="B40" s="21"/>
      <c r="C40" s="14" t="s">
        <v>13</v>
      </c>
      <c r="D40" s="15" t="s">
        <v>11</v>
      </c>
      <c r="E40" s="16" t="s">
        <v>22</v>
      </c>
      <c r="F40" s="44">
        <v>0.0</v>
      </c>
      <c r="G40" s="46">
        <v>165.0</v>
      </c>
      <c r="H40" s="51"/>
      <c r="I40" s="27"/>
    </row>
    <row r="41">
      <c r="A41" s="12">
        <v>34.0</v>
      </c>
      <c r="B41" s="13">
        <v>45768.0</v>
      </c>
      <c r="C41" s="14" t="s">
        <v>30</v>
      </c>
      <c r="D41" s="15" t="s">
        <v>11</v>
      </c>
      <c r="E41" s="48" t="s">
        <v>16</v>
      </c>
      <c r="F41" s="44">
        <v>475129.0</v>
      </c>
      <c r="G41" s="45">
        <v>51.0</v>
      </c>
      <c r="H41" s="51"/>
      <c r="I41" s="27"/>
    </row>
    <row r="42">
      <c r="A42" s="12">
        <v>35.0</v>
      </c>
      <c r="B42" s="21"/>
      <c r="C42" s="14" t="s">
        <v>13</v>
      </c>
      <c r="D42" s="15" t="s">
        <v>11</v>
      </c>
      <c r="E42" s="48" t="s">
        <v>22</v>
      </c>
      <c r="F42" s="44">
        <v>0.0</v>
      </c>
      <c r="G42" s="46">
        <v>170.0</v>
      </c>
      <c r="H42" s="49"/>
      <c r="I42" s="27"/>
    </row>
    <row r="43">
      <c r="A43" s="12">
        <v>36.0</v>
      </c>
      <c r="B43" s="13">
        <v>45769.0</v>
      </c>
      <c r="C43" s="14" t="s">
        <v>30</v>
      </c>
      <c r="D43" s="15" t="s">
        <v>11</v>
      </c>
      <c r="E43" s="16" t="s">
        <v>16</v>
      </c>
      <c r="F43" s="44">
        <v>0.0</v>
      </c>
      <c r="G43" s="45">
        <v>27.0</v>
      </c>
      <c r="H43" s="49"/>
      <c r="I43" s="27"/>
    </row>
    <row r="44">
      <c r="A44" s="12">
        <v>37.0</v>
      </c>
      <c r="B44" s="21"/>
      <c r="C44" s="14" t="s">
        <v>13</v>
      </c>
      <c r="D44" s="15" t="s">
        <v>11</v>
      </c>
      <c r="E44" s="16" t="s">
        <v>22</v>
      </c>
      <c r="F44" s="44">
        <v>357141.0</v>
      </c>
      <c r="G44" s="46">
        <v>179.0</v>
      </c>
      <c r="H44" s="51"/>
      <c r="I44" s="27"/>
    </row>
    <row r="45">
      <c r="A45" s="12">
        <v>38.0</v>
      </c>
      <c r="B45" s="13">
        <v>45770.0</v>
      </c>
      <c r="C45" s="14" t="s">
        <v>30</v>
      </c>
      <c r="D45" s="15" t="s">
        <v>11</v>
      </c>
      <c r="E45" s="16" t="s">
        <v>16</v>
      </c>
      <c r="F45" s="44">
        <v>677320.0</v>
      </c>
      <c r="G45" s="45">
        <v>32.0</v>
      </c>
      <c r="H45" s="49"/>
      <c r="I45" s="27"/>
    </row>
    <row r="46">
      <c r="A46" s="12">
        <v>39.0</v>
      </c>
      <c r="B46" s="21"/>
      <c r="C46" s="14" t="s">
        <v>13</v>
      </c>
      <c r="D46" s="15" t="s">
        <v>11</v>
      </c>
      <c r="E46" s="48" t="s">
        <v>22</v>
      </c>
      <c r="F46" s="44">
        <v>0.0</v>
      </c>
      <c r="G46" s="46">
        <v>127.0</v>
      </c>
      <c r="H46" s="49"/>
      <c r="I46" s="27"/>
    </row>
    <row r="47">
      <c r="A47" s="12">
        <v>40.0</v>
      </c>
      <c r="B47" s="13">
        <v>45771.0</v>
      </c>
      <c r="C47" s="14" t="s">
        <v>30</v>
      </c>
      <c r="D47" s="16" t="s">
        <v>11</v>
      </c>
      <c r="E47" s="48" t="s">
        <v>16</v>
      </c>
      <c r="F47" s="44">
        <v>294347.0</v>
      </c>
      <c r="G47" s="45">
        <v>52.0</v>
      </c>
      <c r="H47" s="52"/>
      <c r="I47" s="27"/>
    </row>
    <row r="48">
      <c r="A48" s="12">
        <v>41.0</v>
      </c>
      <c r="B48" s="21"/>
      <c r="C48" s="14" t="s">
        <v>13</v>
      </c>
      <c r="D48" s="15" t="s">
        <v>11</v>
      </c>
      <c r="E48" s="48" t="s">
        <v>22</v>
      </c>
      <c r="F48" s="44">
        <v>0.0</v>
      </c>
      <c r="G48" s="46">
        <v>185.0</v>
      </c>
      <c r="H48" s="53"/>
      <c r="I48" s="27"/>
    </row>
    <row r="49">
      <c r="A49" s="12">
        <v>42.0</v>
      </c>
      <c r="B49" s="13">
        <v>45772.0</v>
      </c>
      <c r="C49" s="14" t="s">
        <v>10</v>
      </c>
      <c r="D49" s="15" t="s">
        <v>11</v>
      </c>
      <c r="E49" s="16" t="s">
        <v>22</v>
      </c>
      <c r="F49" s="44">
        <v>604629.0</v>
      </c>
      <c r="G49" s="46">
        <v>54.0</v>
      </c>
      <c r="H49" s="52"/>
      <c r="I49" s="27"/>
    </row>
    <row r="50">
      <c r="A50" s="12">
        <v>43.0</v>
      </c>
      <c r="B50" s="21"/>
      <c r="C50" s="14" t="s">
        <v>29</v>
      </c>
      <c r="D50" s="16" t="s">
        <v>11</v>
      </c>
      <c r="E50" s="16" t="s">
        <v>22</v>
      </c>
      <c r="F50" s="44">
        <v>0.0</v>
      </c>
      <c r="G50" s="46">
        <v>46.0</v>
      </c>
      <c r="H50" s="51"/>
      <c r="I50" s="27"/>
    </row>
    <row r="51">
      <c r="A51" s="12">
        <v>44.0</v>
      </c>
      <c r="B51" s="20"/>
      <c r="C51" s="14" t="s">
        <v>27</v>
      </c>
      <c r="D51" s="15" t="s">
        <v>11</v>
      </c>
      <c r="E51" s="48" t="s">
        <v>16</v>
      </c>
      <c r="F51" s="44">
        <v>0.0</v>
      </c>
      <c r="G51" s="45">
        <v>151.0</v>
      </c>
      <c r="H51" s="51"/>
      <c r="I51" s="27"/>
    </row>
    <row r="52">
      <c r="A52" s="12">
        <v>45.0</v>
      </c>
      <c r="B52" s="13">
        <v>45773.0</v>
      </c>
      <c r="C52" s="14" t="s">
        <v>10</v>
      </c>
      <c r="D52" s="16" t="s">
        <v>11</v>
      </c>
      <c r="E52" s="48" t="s">
        <v>16</v>
      </c>
      <c r="F52" s="44">
        <v>0.0</v>
      </c>
      <c r="G52" s="45">
        <v>44.0</v>
      </c>
      <c r="H52" s="52"/>
      <c r="I52" s="27"/>
    </row>
    <row r="53">
      <c r="A53" s="12">
        <v>46.0</v>
      </c>
      <c r="B53" s="21"/>
      <c r="C53" s="14" t="s">
        <v>29</v>
      </c>
      <c r="D53" s="15" t="s">
        <v>11</v>
      </c>
      <c r="E53" s="48" t="s">
        <v>16</v>
      </c>
      <c r="F53" s="44">
        <v>0.0</v>
      </c>
      <c r="G53" s="45">
        <v>41.0</v>
      </c>
      <c r="H53" s="52"/>
      <c r="I53" s="27"/>
    </row>
    <row r="54">
      <c r="A54" s="12">
        <v>47.0</v>
      </c>
      <c r="B54" s="20"/>
      <c r="C54" s="14" t="s">
        <v>27</v>
      </c>
      <c r="D54" s="15" t="s">
        <v>11</v>
      </c>
      <c r="E54" s="16" t="s">
        <v>22</v>
      </c>
      <c r="F54" s="44">
        <v>0.0</v>
      </c>
      <c r="G54" s="46">
        <v>132.0</v>
      </c>
      <c r="H54" s="51"/>
      <c r="I54" s="27"/>
    </row>
    <row r="55">
      <c r="A55" s="12">
        <v>48.0</v>
      </c>
      <c r="B55" s="13">
        <v>45774.0</v>
      </c>
      <c r="C55" s="14" t="s">
        <v>10</v>
      </c>
      <c r="D55" s="16" t="s">
        <v>11</v>
      </c>
      <c r="E55" s="16" t="s">
        <v>22</v>
      </c>
      <c r="F55" s="44">
        <v>391780.0</v>
      </c>
      <c r="G55" s="46">
        <v>104.0</v>
      </c>
      <c r="H55" s="52"/>
      <c r="I55" s="27"/>
    </row>
    <row r="56">
      <c r="A56" s="12">
        <v>49.0</v>
      </c>
      <c r="B56" s="21"/>
      <c r="C56" s="14" t="s">
        <v>29</v>
      </c>
      <c r="D56" s="15" t="s">
        <v>11</v>
      </c>
      <c r="E56" s="48" t="s">
        <v>16</v>
      </c>
      <c r="F56" s="44">
        <v>481840.0</v>
      </c>
      <c r="G56" s="45">
        <v>203.0</v>
      </c>
      <c r="H56" s="49"/>
      <c r="I56" s="27"/>
    </row>
    <row r="57">
      <c r="A57" s="12">
        <v>50.0</v>
      </c>
      <c r="B57" s="20"/>
      <c r="C57" s="14" t="s">
        <v>27</v>
      </c>
      <c r="D57" s="15" t="s">
        <v>11</v>
      </c>
      <c r="E57" s="48" t="s">
        <v>22</v>
      </c>
      <c r="F57" s="44">
        <v>0.0</v>
      </c>
      <c r="G57" s="46">
        <v>247.0</v>
      </c>
      <c r="H57" s="49"/>
      <c r="I57" s="27"/>
    </row>
    <row r="58">
      <c r="A58" s="12">
        <v>51.0</v>
      </c>
      <c r="B58" s="13">
        <v>45775.0</v>
      </c>
      <c r="C58" s="14" t="s">
        <v>10</v>
      </c>
      <c r="D58" s="15" t="s">
        <v>11</v>
      </c>
      <c r="E58" s="16" t="s">
        <v>22</v>
      </c>
      <c r="F58" s="44">
        <v>0.0</v>
      </c>
      <c r="G58" s="46">
        <v>53.0</v>
      </c>
      <c r="H58" s="54"/>
      <c r="I58" s="27"/>
    </row>
    <row r="59">
      <c r="A59" s="12">
        <v>52.0</v>
      </c>
      <c r="B59" s="21"/>
      <c r="C59" s="14" t="s">
        <v>29</v>
      </c>
      <c r="D59" s="15" t="s">
        <v>11</v>
      </c>
      <c r="E59" s="48" t="s">
        <v>16</v>
      </c>
      <c r="F59" s="44">
        <v>0.0</v>
      </c>
      <c r="G59" s="45">
        <v>43.0</v>
      </c>
      <c r="H59" s="51"/>
      <c r="I59" s="27"/>
    </row>
    <row r="60">
      <c r="A60" s="12">
        <v>53.0</v>
      </c>
      <c r="B60" s="20"/>
      <c r="C60" s="14" t="s">
        <v>27</v>
      </c>
      <c r="D60" s="15" t="s">
        <v>11</v>
      </c>
      <c r="E60" s="16" t="s">
        <v>22</v>
      </c>
      <c r="F60" s="44">
        <v>0.0</v>
      </c>
      <c r="G60" s="46">
        <v>102.0</v>
      </c>
      <c r="H60" s="49"/>
      <c r="I60" s="27"/>
    </row>
    <row r="61">
      <c r="A61" s="12">
        <v>54.0</v>
      </c>
      <c r="B61" s="13">
        <v>45776.0</v>
      </c>
      <c r="C61" s="14" t="s">
        <v>30</v>
      </c>
      <c r="D61" s="16" t="s">
        <v>11</v>
      </c>
      <c r="E61" s="48" t="s">
        <v>16</v>
      </c>
      <c r="F61" s="44">
        <v>0.0</v>
      </c>
      <c r="G61" s="45">
        <v>57.0</v>
      </c>
      <c r="H61" s="49"/>
      <c r="I61" s="27"/>
    </row>
    <row r="62">
      <c r="A62" s="12">
        <v>55.0</v>
      </c>
      <c r="B62" s="21"/>
      <c r="C62" s="14" t="s">
        <v>13</v>
      </c>
      <c r="D62" s="15" t="s">
        <v>11</v>
      </c>
      <c r="E62" s="16" t="s">
        <v>22</v>
      </c>
      <c r="F62" s="44">
        <v>367039.0</v>
      </c>
      <c r="G62" s="46">
        <v>308.0</v>
      </c>
      <c r="H62" s="49"/>
      <c r="I62" s="27"/>
    </row>
    <row r="63">
      <c r="A63" s="12">
        <v>56.0</v>
      </c>
      <c r="B63" s="13">
        <v>45777.0</v>
      </c>
      <c r="C63" s="14" t="s">
        <v>30</v>
      </c>
      <c r="D63" s="15" t="s">
        <v>11</v>
      </c>
      <c r="E63" s="16" t="s">
        <v>16</v>
      </c>
      <c r="F63" s="44">
        <v>585920.0</v>
      </c>
      <c r="G63" s="45">
        <v>96.0</v>
      </c>
      <c r="H63" s="49"/>
      <c r="I63" s="27"/>
    </row>
    <row r="64">
      <c r="A64" s="12">
        <v>57.0</v>
      </c>
      <c r="B64" s="21"/>
      <c r="C64" s="14" t="s">
        <v>13</v>
      </c>
      <c r="D64" s="16" t="s">
        <v>11</v>
      </c>
      <c r="E64" s="48" t="s">
        <v>22</v>
      </c>
      <c r="F64" s="44">
        <v>0.0</v>
      </c>
      <c r="G64" s="46">
        <v>268.0</v>
      </c>
      <c r="H64" s="49"/>
      <c r="I64" s="27"/>
    </row>
    <row r="65">
      <c r="A65" s="12">
        <v>58.0</v>
      </c>
      <c r="B65" s="13">
        <v>45778.0</v>
      </c>
      <c r="C65" s="14" t="s">
        <v>30</v>
      </c>
      <c r="D65" s="15" t="s">
        <v>11</v>
      </c>
      <c r="E65" s="48" t="s">
        <v>16</v>
      </c>
      <c r="F65" s="44">
        <v>515891.0</v>
      </c>
      <c r="G65" s="45">
        <v>78.0</v>
      </c>
      <c r="H65" s="49"/>
      <c r="I65" s="27"/>
    </row>
    <row r="66">
      <c r="A66" s="12">
        <v>59.0</v>
      </c>
      <c r="B66" s="21"/>
      <c r="C66" s="14" t="s">
        <v>13</v>
      </c>
      <c r="D66" s="48" t="s">
        <v>11</v>
      </c>
      <c r="E66" s="48" t="s">
        <v>22</v>
      </c>
      <c r="F66" s="44">
        <v>0.0</v>
      </c>
      <c r="G66" s="46">
        <v>224.0</v>
      </c>
      <c r="H66" s="49"/>
      <c r="I66" s="27"/>
    </row>
    <row r="67">
      <c r="A67" s="12">
        <v>60.0</v>
      </c>
      <c r="B67" s="50">
        <v>45779.0</v>
      </c>
      <c r="C67" s="14" t="s">
        <v>13</v>
      </c>
      <c r="D67" s="15" t="s">
        <v>11</v>
      </c>
      <c r="E67" s="16" t="s">
        <v>22</v>
      </c>
      <c r="F67" s="44">
        <v>0.0</v>
      </c>
      <c r="G67" s="45">
        <v>77.0</v>
      </c>
      <c r="H67" s="49"/>
      <c r="I67" s="27"/>
    </row>
    <row r="68">
      <c r="A68" s="14"/>
      <c r="B68" s="43"/>
      <c r="C68" s="14"/>
      <c r="D68" s="15"/>
      <c r="E68" s="16"/>
      <c r="F68" s="55">
        <f>SUM(F7:F67)</f>
        <v>30703213</v>
      </c>
      <c r="G68" s="56"/>
      <c r="H68" s="49"/>
      <c r="I68" s="27"/>
    </row>
    <row r="69">
      <c r="A69" s="14"/>
      <c r="B69" s="13"/>
      <c r="C69" s="14"/>
      <c r="D69" s="15"/>
      <c r="E69" s="16"/>
      <c r="F69" s="55"/>
      <c r="G69" s="56"/>
      <c r="H69" s="49"/>
      <c r="I69" s="27"/>
    </row>
    <row r="70">
      <c r="A70" s="14"/>
      <c r="B70" s="13"/>
      <c r="C70" s="14"/>
      <c r="D70" s="15"/>
      <c r="E70" s="16"/>
      <c r="F70" s="55"/>
      <c r="G70" s="56"/>
      <c r="H70" s="49"/>
      <c r="I70" s="27"/>
    </row>
    <row r="71">
      <c r="A71" s="14"/>
      <c r="B71" s="13"/>
      <c r="C71" s="14"/>
      <c r="D71" s="15"/>
      <c r="E71" s="16"/>
      <c r="F71" s="55"/>
      <c r="G71" s="56"/>
      <c r="H71" s="49"/>
      <c r="I71" s="27"/>
    </row>
    <row r="72">
      <c r="A72" s="14"/>
      <c r="B72" s="13"/>
      <c r="C72" s="14"/>
      <c r="D72" s="15"/>
      <c r="E72" s="16"/>
      <c r="F72" s="55"/>
      <c r="G72" s="56"/>
      <c r="H72" s="49"/>
      <c r="I72" s="27"/>
    </row>
    <row r="73">
      <c r="A73" s="14"/>
      <c r="B73" s="13"/>
      <c r="C73" s="14"/>
      <c r="D73" s="15"/>
      <c r="E73" s="16"/>
      <c r="F73" s="55"/>
      <c r="G73" s="56"/>
      <c r="H73" s="49"/>
      <c r="I73" s="27"/>
    </row>
    <row r="74">
      <c r="A74" s="14"/>
      <c r="B74" s="13"/>
      <c r="C74" s="14"/>
      <c r="D74" s="15"/>
      <c r="E74" s="16"/>
      <c r="F74" s="55"/>
      <c r="G74" s="56"/>
      <c r="H74" s="49"/>
      <c r="I74" s="27"/>
    </row>
    <row r="75">
      <c r="A75" s="14"/>
      <c r="B75" s="13"/>
      <c r="C75" s="14"/>
      <c r="D75" s="15"/>
      <c r="E75" s="16"/>
      <c r="F75" s="55"/>
      <c r="G75" s="56"/>
      <c r="H75" s="49"/>
      <c r="I75" s="27"/>
    </row>
    <row r="76">
      <c r="E76" s="57" t="s">
        <v>31</v>
      </c>
      <c r="F76" s="40"/>
    </row>
    <row r="77">
      <c r="E77" s="58" t="s">
        <v>16</v>
      </c>
      <c r="F77" s="59" t="s">
        <v>32</v>
      </c>
    </row>
    <row r="78">
      <c r="E78" s="58" t="s">
        <v>22</v>
      </c>
      <c r="F78" s="59" t="s">
        <v>33</v>
      </c>
    </row>
    <row r="79">
      <c r="F79" s="40"/>
    </row>
    <row r="80">
      <c r="F80" s="40"/>
    </row>
    <row r="81">
      <c r="F81" s="40"/>
    </row>
    <row r="82">
      <c r="F82" s="40"/>
    </row>
    <row r="83">
      <c r="F83" s="40"/>
    </row>
    <row r="84">
      <c r="F84" s="40"/>
    </row>
    <row r="85">
      <c r="F85" s="40"/>
    </row>
    <row r="86">
      <c r="F86" s="40"/>
    </row>
    <row r="87">
      <c r="F87" s="40"/>
    </row>
    <row r="88">
      <c r="F88" s="40"/>
    </row>
    <row r="89">
      <c r="F89" s="40"/>
    </row>
    <row r="90">
      <c r="F90" s="40"/>
    </row>
    <row r="91">
      <c r="F91" s="40"/>
    </row>
    <row r="92">
      <c r="F92" s="40"/>
    </row>
    <row r="93">
      <c r="F93" s="40"/>
    </row>
    <row r="94">
      <c r="F94" s="40"/>
    </row>
    <row r="95">
      <c r="F95" s="40"/>
    </row>
    <row r="96">
      <c r="F96" s="40"/>
    </row>
    <row r="97">
      <c r="F97" s="40"/>
    </row>
    <row r="98">
      <c r="F98" s="40"/>
    </row>
    <row r="99">
      <c r="F99" s="40"/>
    </row>
    <row r="100">
      <c r="F100" s="40"/>
    </row>
    <row r="101">
      <c r="F101" s="40"/>
    </row>
    <row r="102">
      <c r="F102" s="40"/>
    </row>
    <row r="103">
      <c r="F103" s="40"/>
    </row>
    <row r="104">
      <c r="F104" s="40"/>
    </row>
    <row r="105">
      <c r="F105" s="40"/>
    </row>
    <row r="106">
      <c r="F106" s="40"/>
    </row>
    <row r="107">
      <c r="F107" s="40"/>
    </row>
    <row r="108">
      <c r="F108" s="40"/>
    </row>
    <row r="109">
      <c r="F109" s="40"/>
    </row>
    <row r="110">
      <c r="F110" s="40"/>
    </row>
    <row r="111">
      <c r="F111" s="40"/>
    </row>
    <row r="112">
      <c r="F112" s="40"/>
    </row>
    <row r="113">
      <c r="F113" s="40"/>
    </row>
    <row r="114">
      <c r="F114" s="40"/>
    </row>
    <row r="115">
      <c r="F115" s="40"/>
    </row>
    <row r="116">
      <c r="F116" s="40"/>
    </row>
    <row r="117">
      <c r="F117" s="40"/>
    </row>
    <row r="118">
      <c r="F118" s="40"/>
    </row>
    <row r="119">
      <c r="F119" s="40"/>
    </row>
    <row r="120">
      <c r="F120" s="40"/>
    </row>
    <row r="121">
      <c r="F121" s="40"/>
    </row>
    <row r="122">
      <c r="F122" s="40"/>
    </row>
    <row r="123">
      <c r="F123" s="40"/>
    </row>
    <row r="124">
      <c r="F124" s="40"/>
    </row>
    <row r="125">
      <c r="F125" s="40"/>
    </row>
    <row r="126">
      <c r="F126" s="40"/>
    </row>
    <row r="127">
      <c r="F127" s="40"/>
    </row>
    <row r="128">
      <c r="F128" s="40"/>
    </row>
    <row r="129">
      <c r="F129" s="40"/>
    </row>
    <row r="130">
      <c r="F130" s="40"/>
    </row>
    <row r="131">
      <c r="F131" s="40"/>
    </row>
    <row r="132">
      <c r="F132" s="40"/>
    </row>
    <row r="133">
      <c r="F133" s="40"/>
    </row>
    <row r="134">
      <c r="F134" s="40"/>
    </row>
    <row r="135">
      <c r="F135" s="40"/>
    </row>
    <row r="136">
      <c r="F136" s="40"/>
    </row>
    <row r="137">
      <c r="F137" s="40"/>
    </row>
    <row r="138">
      <c r="F138" s="40"/>
    </row>
    <row r="139">
      <c r="F139" s="40"/>
    </row>
    <row r="140">
      <c r="F140" s="40"/>
    </row>
    <row r="141">
      <c r="F141" s="40"/>
    </row>
    <row r="142">
      <c r="F142" s="40"/>
    </row>
    <row r="143">
      <c r="F143" s="40"/>
    </row>
    <row r="144">
      <c r="F144" s="40"/>
    </row>
    <row r="145">
      <c r="F145" s="40"/>
    </row>
    <row r="146">
      <c r="F146" s="40"/>
    </row>
    <row r="147">
      <c r="F147" s="40"/>
    </row>
    <row r="148">
      <c r="F148" s="40"/>
    </row>
    <row r="149">
      <c r="F149" s="40"/>
    </row>
    <row r="150">
      <c r="F150" s="40"/>
    </row>
    <row r="151">
      <c r="F151" s="40"/>
    </row>
    <row r="152">
      <c r="F152" s="40"/>
    </row>
    <row r="153">
      <c r="F153" s="40"/>
    </row>
    <row r="154">
      <c r="F154" s="40"/>
    </row>
    <row r="155">
      <c r="F155" s="40"/>
    </row>
    <row r="156">
      <c r="F156" s="40"/>
    </row>
    <row r="157">
      <c r="F157" s="40"/>
    </row>
    <row r="158">
      <c r="F158" s="40"/>
    </row>
    <row r="159">
      <c r="F159" s="40"/>
    </row>
    <row r="160">
      <c r="F160" s="40"/>
    </row>
    <row r="161">
      <c r="F161" s="40"/>
    </row>
    <row r="162">
      <c r="F162" s="40"/>
    </row>
    <row r="163">
      <c r="F163" s="40"/>
    </row>
    <row r="164">
      <c r="F164" s="40"/>
    </row>
    <row r="165">
      <c r="F165" s="40"/>
    </row>
    <row r="166">
      <c r="F166" s="40"/>
    </row>
    <row r="167">
      <c r="F167" s="40"/>
    </row>
    <row r="168">
      <c r="F168" s="40"/>
    </row>
    <row r="169">
      <c r="F169" s="40"/>
    </row>
    <row r="170">
      <c r="F170" s="40"/>
    </row>
    <row r="171">
      <c r="F171" s="40"/>
    </row>
    <row r="172">
      <c r="F172" s="40"/>
    </row>
    <row r="173">
      <c r="F173" s="40"/>
    </row>
    <row r="174">
      <c r="F174" s="40"/>
    </row>
    <row r="175">
      <c r="F175" s="40"/>
    </row>
    <row r="176">
      <c r="F176" s="40"/>
    </row>
    <row r="177">
      <c r="F177" s="40"/>
    </row>
    <row r="178">
      <c r="F178" s="40"/>
    </row>
    <row r="179">
      <c r="F179" s="40"/>
    </row>
    <row r="180">
      <c r="F180" s="40"/>
    </row>
    <row r="181">
      <c r="F181" s="40"/>
    </row>
    <row r="182">
      <c r="F182" s="40"/>
    </row>
    <row r="183">
      <c r="F183" s="40"/>
    </row>
    <row r="184">
      <c r="F184" s="40"/>
    </row>
    <row r="185">
      <c r="F185" s="40"/>
    </row>
    <row r="186">
      <c r="F186" s="40"/>
    </row>
    <row r="187">
      <c r="F187" s="40"/>
    </row>
    <row r="188">
      <c r="F188" s="40"/>
    </row>
    <row r="189">
      <c r="F189" s="40"/>
    </row>
    <row r="190">
      <c r="F190" s="40"/>
    </row>
    <row r="191">
      <c r="F191" s="40"/>
    </row>
    <row r="192">
      <c r="F192" s="40"/>
    </row>
    <row r="193">
      <c r="F193" s="40"/>
    </row>
    <row r="194">
      <c r="F194" s="40"/>
    </row>
    <row r="195">
      <c r="F195" s="40"/>
    </row>
    <row r="196">
      <c r="F196" s="40"/>
    </row>
    <row r="197">
      <c r="F197" s="40"/>
    </row>
    <row r="198">
      <c r="F198" s="40"/>
    </row>
    <row r="199">
      <c r="F199" s="40"/>
    </row>
    <row r="200">
      <c r="F200" s="40"/>
    </row>
    <row r="201">
      <c r="F201" s="40"/>
    </row>
    <row r="202">
      <c r="F202" s="40"/>
    </row>
    <row r="203">
      <c r="F203" s="40"/>
    </row>
    <row r="204">
      <c r="F204" s="40"/>
    </row>
    <row r="205">
      <c r="F205" s="40"/>
    </row>
    <row r="206">
      <c r="F206" s="40"/>
    </row>
    <row r="207">
      <c r="F207" s="40"/>
    </row>
    <row r="208">
      <c r="F208" s="40"/>
    </row>
    <row r="209">
      <c r="F209" s="40"/>
    </row>
    <row r="210">
      <c r="F210" s="40"/>
    </row>
    <row r="211">
      <c r="F211" s="40"/>
    </row>
    <row r="212">
      <c r="F212" s="40"/>
    </row>
    <row r="213">
      <c r="F213" s="40"/>
    </row>
    <row r="214">
      <c r="F214" s="40"/>
    </row>
    <row r="215">
      <c r="F215" s="40"/>
    </row>
    <row r="216">
      <c r="F216" s="40"/>
    </row>
    <row r="217">
      <c r="F217" s="40"/>
    </row>
    <row r="218">
      <c r="F218" s="40"/>
    </row>
    <row r="219">
      <c r="F219" s="40"/>
    </row>
    <row r="220">
      <c r="F220" s="40"/>
    </row>
    <row r="221">
      <c r="F221" s="40"/>
    </row>
    <row r="222">
      <c r="F222" s="40"/>
    </row>
    <row r="223">
      <c r="F223" s="40"/>
    </row>
    <row r="224">
      <c r="F224" s="40"/>
    </row>
    <row r="225">
      <c r="F225" s="40"/>
    </row>
    <row r="226">
      <c r="F226" s="40"/>
    </row>
    <row r="227">
      <c r="F227" s="40"/>
    </row>
    <row r="228">
      <c r="F228" s="40"/>
    </row>
    <row r="229">
      <c r="F229" s="40"/>
    </row>
    <row r="230">
      <c r="F230" s="40"/>
    </row>
    <row r="231">
      <c r="F231" s="40"/>
    </row>
    <row r="232">
      <c r="F232" s="40"/>
    </row>
    <row r="233">
      <c r="F233" s="40"/>
    </row>
    <row r="234">
      <c r="F234" s="40"/>
    </row>
    <row r="235">
      <c r="F235" s="40"/>
    </row>
    <row r="236">
      <c r="F236" s="40"/>
    </row>
    <row r="237">
      <c r="F237" s="40"/>
    </row>
    <row r="238">
      <c r="F238" s="40"/>
    </row>
    <row r="239">
      <c r="F239" s="40"/>
    </row>
    <row r="240">
      <c r="F240" s="40"/>
    </row>
    <row r="241">
      <c r="F241" s="40"/>
    </row>
    <row r="242">
      <c r="F242" s="40"/>
    </row>
    <row r="243">
      <c r="F243" s="40"/>
    </row>
    <row r="244">
      <c r="F244" s="40"/>
    </row>
    <row r="245">
      <c r="F245" s="40"/>
    </row>
    <row r="246">
      <c r="F246" s="40"/>
    </row>
    <row r="247">
      <c r="F247" s="40"/>
    </row>
    <row r="248">
      <c r="F248" s="40"/>
    </row>
    <row r="249">
      <c r="F249" s="40"/>
    </row>
    <row r="250">
      <c r="F250" s="40"/>
    </row>
    <row r="251">
      <c r="F251" s="40"/>
    </row>
    <row r="252">
      <c r="F252" s="40"/>
    </row>
    <row r="253">
      <c r="F253" s="40"/>
    </row>
    <row r="254">
      <c r="F254" s="40"/>
    </row>
    <row r="255">
      <c r="F255" s="40"/>
    </row>
    <row r="256">
      <c r="F256" s="40"/>
    </row>
    <row r="257">
      <c r="F257" s="40"/>
    </row>
    <row r="258">
      <c r="F258" s="40"/>
    </row>
    <row r="259">
      <c r="F259" s="40"/>
    </row>
    <row r="260">
      <c r="F260" s="40"/>
    </row>
    <row r="261">
      <c r="F261" s="40"/>
    </row>
    <row r="262">
      <c r="F262" s="40"/>
    </row>
    <row r="263">
      <c r="F263" s="40"/>
    </row>
    <row r="264">
      <c r="F264" s="40"/>
    </row>
    <row r="265">
      <c r="F265" s="40"/>
    </row>
    <row r="266">
      <c r="F266" s="40"/>
    </row>
    <row r="267">
      <c r="F267" s="40"/>
    </row>
    <row r="268">
      <c r="F268" s="40"/>
    </row>
    <row r="269">
      <c r="F269" s="40"/>
    </row>
    <row r="270">
      <c r="F270" s="40"/>
    </row>
    <row r="271">
      <c r="F271" s="40"/>
    </row>
    <row r="272">
      <c r="F272" s="40"/>
    </row>
    <row r="273">
      <c r="F273" s="40"/>
    </row>
    <row r="274">
      <c r="F274" s="40"/>
    </row>
    <row r="275">
      <c r="F275" s="40"/>
    </row>
    <row r="276">
      <c r="F276" s="40"/>
    </row>
    <row r="277">
      <c r="F277" s="40"/>
    </row>
    <row r="278">
      <c r="F278" s="40"/>
    </row>
    <row r="279">
      <c r="F279" s="40"/>
    </row>
    <row r="280">
      <c r="F280" s="40"/>
    </row>
    <row r="281">
      <c r="F281" s="40"/>
    </row>
    <row r="282">
      <c r="F282" s="40"/>
    </row>
    <row r="283">
      <c r="F283" s="40"/>
    </row>
    <row r="284">
      <c r="F284" s="40"/>
    </row>
    <row r="285">
      <c r="F285" s="40"/>
    </row>
    <row r="286">
      <c r="F286" s="40"/>
    </row>
    <row r="287">
      <c r="F287" s="40"/>
    </row>
    <row r="288">
      <c r="F288" s="40"/>
    </row>
    <row r="289">
      <c r="F289" s="40"/>
    </row>
    <row r="290">
      <c r="F290" s="40"/>
    </row>
    <row r="291">
      <c r="F291" s="40"/>
    </row>
    <row r="292">
      <c r="F292" s="40"/>
    </row>
    <row r="293">
      <c r="F293" s="40"/>
    </row>
    <row r="294">
      <c r="F294" s="40"/>
    </row>
    <row r="295">
      <c r="F295" s="40"/>
    </row>
    <row r="296">
      <c r="F296" s="40"/>
    </row>
    <row r="297">
      <c r="F297" s="40"/>
    </row>
    <row r="298">
      <c r="F298" s="40"/>
    </row>
    <row r="299">
      <c r="F299" s="40"/>
    </row>
    <row r="300">
      <c r="F300" s="40"/>
    </row>
    <row r="301">
      <c r="F301" s="40"/>
    </row>
    <row r="302">
      <c r="F302" s="40"/>
    </row>
    <row r="303">
      <c r="F303" s="40"/>
    </row>
    <row r="304">
      <c r="F304" s="40"/>
    </row>
    <row r="305">
      <c r="F305" s="40"/>
    </row>
    <row r="306">
      <c r="F306" s="40"/>
    </row>
    <row r="307">
      <c r="F307" s="40"/>
    </row>
    <row r="308">
      <c r="F308" s="40"/>
    </row>
    <row r="309">
      <c r="F309" s="40"/>
    </row>
    <row r="310">
      <c r="F310" s="40"/>
    </row>
    <row r="311">
      <c r="F311" s="40"/>
    </row>
    <row r="312">
      <c r="F312" s="40"/>
    </row>
    <row r="313">
      <c r="F313" s="40"/>
    </row>
    <row r="314">
      <c r="F314" s="40"/>
    </row>
    <row r="315">
      <c r="F315" s="40"/>
    </row>
    <row r="316">
      <c r="F316" s="40"/>
    </row>
    <row r="317">
      <c r="F317" s="40"/>
    </row>
    <row r="318">
      <c r="F318" s="40"/>
    </row>
    <row r="319">
      <c r="F319" s="40"/>
    </row>
    <row r="320">
      <c r="F320" s="40"/>
    </row>
    <row r="321">
      <c r="F321" s="40"/>
    </row>
    <row r="322">
      <c r="F322" s="40"/>
    </row>
    <row r="323">
      <c r="F323" s="40"/>
    </row>
    <row r="324">
      <c r="F324" s="40"/>
    </row>
    <row r="325">
      <c r="F325" s="40"/>
    </row>
    <row r="326">
      <c r="F326" s="40"/>
    </row>
    <row r="327">
      <c r="F327" s="40"/>
    </row>
    <row r="328">
      <c r="F328" s="40"/>
    </row>
    <row r="329">
      <c r="F329" s="40"/>
    </row>
    <row r="330">
      <c r="F330" s="40"/>
    </row>
    <row r="331">
      <c r="F331" s="40"/>
    </row>
    <row r="332">
      <c r="F332" s="40"/>
    </row>
    <row r="333">
      <c r="F333" s="40"/>
    </row>
    <row r="334">
      <c r="F334" s="40"/>
    </row>
    <row r="335">
      <c r="F335" s="40"/>
    </row>
    <row r="336">
      <c r="F336" s="40"/>
    </row>
    <row r="337">
      <c r="F337" s="40"/>
    </row>
    <row r="338">
      <c r="F338" s="40"/>
    </row>
    <row r="339">
      <c r="F339" s="40"/>
    </row>
    <row r="340">
      <c r="F340" s="40"/>
    </row>
    <row r="341">
      <c r="F341" s="40"/>
    </row>
    <row r="342">
      <c r="F342" s="40"/>
    </row>
    <row r="343">
      <c r="F343" s="40"/>
    </row>
    <row r="344">
      <c r="F344" s="40"/>
    </row>
    <row r="345">
      <c r="F345" s="40"/>
    </row>
    <row r="346">
      <c r="F346" s="40"/>
    </row>
    <row r="347">
      <c r="F347" s="40"/>
    </row>
    <row r="348">
      <c r="F348" s="40"/>
    </row>
    <row r="349">
      <c r="F349" s="40"/>
    </row>
    <row r="350">
      <c r="F350" s="40"/>
    </row>
    <row r="351">
      <c r="F351" s="40"/>
    </row>
    <row r="352">
      <c r="F352" s="40"/>
    </row>
    <row r="353">
      <c r="F353" s="40"/>
    </row>
    <row r="354">
      <c r="F354" s="40"/>
    </row>
    <row r="355">
      <c r="F355" s="40"/>
    </row>
    <row r="356">
      <c r="F356" s="40"/>
    </row>
    <row r="357">
      <c r="F357" s="40"/>
    </row>
    <row r="358">
      <c r="F358" s="40"/>
    </row>
    <row r="359">
      <c r="F359" s="40"/>
    </row>
    <row r="360">
      <c r="F360" s="40"/>
    </row>
    <row r="361">
      <c r="F361" s="40"/>
    </row>
    <row r="362">
      <c r="F362" s="40"/>
    </row>
    <row r="363">
      <c r="F363" s="40"/>
    </row>
    <row r="364">
      <c r="F364" s="40"/>
    </row>
    <row r="365">
      <c r="F365" s="40"/>
    </row>
    <row r="366">
      <c r="F366" s="40"/>
    </row>
    <row r="367">
      <c r="F367" s="40"/>
    </row>
    <row r="368">
      <c r="F368" s="40"/>
    </row>
    <row r="369">
      <c r="F369" s="40"/>
    </row>
    <row r="370">
      <c r="F370" s="40"/>
    </row>
    <row r="371">
      <c r="F371" s="40"/>
    </row>
    <row r="372">
      <c r="F372" s="40"/>
    </row>
    <row r="373">
      <c r="F373" s="40"/>
    </row>
    <row r="374">
      <c r="F374" s="40"/>
    </row>
    <row r="375">
      <c r="F375" s="40"/>
    </row>
    <row r="376">
      <c r="F376" s="40"/>
    </row>
    <row r="377">
      <c r="F377" s="40"/>
    </row>
    <row r="378">
      <c r="F378" s="40"/>
    </row>
    <row r="379">
      <c r="F379" s="40"/>
    </row>
    <row r="380">
      <c r="F380" s="40"/>
    </row>
    <row r="381">
      <c r="F381" s="40"/>
    </row>
    <row r="382">
      <c r="F382" s="40"/>
    </row>
    <row r="383">
      <c r="F383" s="40"/>
    </row>
    <row r="384">
      <c r="F384" s="40"/>
    </row>
    <row r="385">
      <c r="F385" s="40"/>
    </row>
    <row r="386">
      <c r="F386" s="40"/>
    </row>
    <row r="387">
      <c r="F387" s="40"/>
    </row>
    <row r="388">
      <c r="F388" s="40"/>
    </row>
    <row r="389">
      <c r="F389" s="40"/>
    </row>
    <row r="390">
      <c r="F390" s="40"/>
    </row>
    <row r="391">
      <c r="F391" s="40"/>
    </row>
    <row r="392">
      <c r="F392" s="40"/>
    </row>
    <row r="393">
      <c r="F393" s="40"/>
    </row>
    <row r="394">
      <c r="F394" s="40"/>
    </row>
    <row r="395">
      <c r="F395" s="40"/>
    </row>
    <row r="396">
      <c r="F396" s="40"/>
    </row>
    <row r="397">
      <c r="F397" s="40"/>
    </row>
    <row r="398">
      <c r="F398" s="40"/>
    </row>
    <row r="399">
      <c r="F399" s="40"/>
    </row>
    <row r="400">
      <c r="F400" s="40"/>
    </row>
    <row r="401">
      <c r="F401" s="40"/>
    </row>
    <row r="402">
      <c r="F402" s="40"/>
    </row>
    <row r="403">
      <c r="F403" s="40"/>
    </row>
    <row r="404">
      <c r="F404" s="40"/>
    </row>
    <row r="405">
      <c r="F405" s="40"/>
    </row>
    <row r="406">
      <c r="F406" s="40"/>
    </row>
    <row r="407">
      <c r="F407" s="40"/>
    </row>
    <row r="408">
      <c r="F408" s="40"/>
    </row>
    <row r="409">
      <c r="F409" s="40"/>
    </row>
    <row r="410">
      <c r="F410" s="40"/>
    </row>
    <row r="411">
      <c r="F411" s="40"/>
    </row>
    <row r="412">
      <c r="F412" s="40"/>
    </row>
    <row r="413">
      <c r="F413" s="40"/>
    </row>
    <row r="414">
      <c r="F414" s="40"/>
    </row>
    <row r="415">
      <c r="F415" s="40"/>
    </row>
    <row r="416">
      <c r="F416" s="40"/>
    </row>
    <row r="417">
      <c r="F417" s="40"/>
    </row>
    <row r="418">
      <c r="F418" s="40"/>
    </row>
    <row r="419">
      <c r="F419" s="40"/>
    </row>
    <row r="420">
      <c r="F420" s="40"/>
    </row>
    <row r="421">
      <c r="F421" s="40"/>
    </row>
    <row r="422">
      <c r="F422" s="40"/>
    </row>
    <row r="423">
      <c r="F423" s="40"/>
    </row>
    <row r="424">
      <c r="F424" s="40"/>
    </row>
    <row r="425">
      <c r="F425" s="40"/>
    </row>
    <row r="426">
      <c r="F426" s="40"/>
    </row>
    <row r="427">
      <c r="F427" s="40"/>
    </row>
    <row r="428">
      <c r="F428" s="40"/>
    </row>
    <row r="429">
      <c r="F429" s="40"/>
    </row>
    <row r="430">
      <c r="F430" s="40"/>
    </row>
    <row r="431">
      <c r="F431" s="40"/>
    </row>
    <row r="432">
      <c r="F432" s="40"/>
    </row>
    <row r="433">
      <c r="F433" s="40"/>
    </row>
    <row r="434">
      <c r="F434" s="40"/>
    </row>
    <row r="435">
      <c r="F435" s="40"/>
    </row>
    <row r="436">
      <c r="F436" s="40"/>
    </row>
    <row r="437">
      <c r="F437" s="40"/>
    </row>
    <row r="438">
      <c r="F438" s="40"/>
    </row>
    <row r="439">
      <c r="F439" s="40"/>
    </row>
    <row r="440">
      <c r="F440" s="40"/>
    </row>
    <row r="441">
      <c r="F441" s="40"/>
    </row>
    <row r="442">
      <c r="F442" s="40"/>
    </row>
    <row r="443">
      <c r="F443" s="40"/>
    </row>
    <row r="444">
      <c r="F444" s="40"/>
    </row>
    <row r="445">
      <c r="F445" s="40"/>
    </row>
    <row r="446">
      <c r="F446" s="40"/>
    </row>
    <row r="447">
      <c r="F447" s="40"/>
    </row>
    <row r="448">
      <c r="F448" s="40"/>
    </row>
    <row r="449">
      <c r="F449" s="40"/>
    </row>
    <row r="450">
      <c r="F450" s="40"/>
    </row>
    <row r="451">
      <c r="F451" s="40"/>
    </row>
    <row r="452">
      <c r="F452" s="40"/>
    </row>
    <row r="453">
      <c r="F453" s="40"/>
    </row>
    <row r="454">
      <c r="F454" s="40"/>
    </row>
    <row r="455">
      <c r="F455" s="40"/>
    </row>
    <row r="456">
      <c r="F456" s="40"/>
    </row>
    <row r="457">
      <c r="F457" s="40"/>
    </row>
    <row r="458">
      <c r="F458" s="40"/>
    </row>
    <row r="459">
      <c r="F459" s="40"/>
    </row>
    <row r="460">
      <c r="F460" s="40"/>
    </row>
    <row r="461">
      <c r="F461" s="40"/>
    </row>
    <row r="462">
      <c r="F462" s="40"/>
    </row>
    <row r="463">
      <c r="F463" s="40"/>
    </row>
    <row r="464">
      <c r="F464" s="40"/>
    </row>
    <row r="465">
      <c r="F465" s="40"/>
    </row>
    <row r="466">
      <c r="F466" s="40"/>
    </row>
    <row r="467">
      <c r="F467" s="40"/>
    </row>
    <row r="468">
      <c r="F468" s="40"/>
    </row>
    <row r="469">
      <c r="F469" s="40"/>
    </row>
    <row r="470">
      <c r="F470" s="40"/>
    </row>
    <row r="471">
      <c r="F471" s="40"/>
    </row>
    <row r="472">
      <c r="F472" s="40"/>
    </row>
    <row r="473">
      <c r="F473" s="40"/>
    </row>
    <row r="474">
      <c r="F474" s="40"/>
    </row>
    <row r="475">
      <c r="F475" s="40"/>
    </row>
    <row r="476">
      <c r="F476" s="40"/>
    </row>
    <row r="477">
      <c r="F477" s="40"/>
    </row>
    <row r="478">
      <c r="F478" s="40"/>
    </row>
    <row r="479">
      <c r="F479" s="40"/>
    </row>
    <row r="480">
      <c r="F480" s="40"/>
    </row>
    <row r="481">
      <c r="F481" s="40"/>
    </row>
    <row r="482">
      <c r="F482" s="40"/>
    </row>
    <row r="483">
      <c r="F483" s="40"/>
    </row>
    <row r="484">
      <c r="F484" s="40"/>
    </row>
    <row r="485">
      <c r="F485" s="40"/>
    </row>
    <row r="486">
      <c r="F486" s="40"/>
    </row>
    <row r="487">
      <c r="F487" s="40"/>
    </row>
    <row r="488">
      <c r="F488" s="40"/>
    </row>
    <row r="489">
      <c r="F489" s="40"/>
    </row>
    <row r="490">
      <c r="F490" s="40"/>
    </row>
    <row r="491">
      <c r="F491" s="40"/>
    </row>
    <row r="492">
      <c r="F492" s="40"/>
    </row>
    <row r="493">
      <c r="F493" s="40"/>
    </row>
    <row r="494">
      <c r="F494" s="40"/>
    </row>
    <row r="495">
      <c r="F495" s="40"/>
    </row>
    <row r="496">
      <c r="F496" s="40"/>
    </row>
    <row r="497">
      <c r="F497" s="40"/>
    </row>
    <row r="498">
      <c r="F498" s="40"/>
    </row>
    <row r="499">
      <c r="F499" s="40"/>
    </row>
    <row r="500">
      <c r="F500" s="40"/>
    </row>
    <row r="501">
      <c r="F501" s="40"/>
    </row>
    <row r="502">
      <c r="F502" s="40"/>
    </row>
    <row r="503">
      <c r="F503" s="40"/>
    </row>
    <row r="504">
      <c r="F504" s="40"/>
    </row>
    <row r="505">
      <c r="F505" s="40"/>
    </row>
    <row r="506">
      <c r="F506" s="40"/>
    </row>
    <row r="507">
      <c r="F507" s="40"/>
    </row>
    <row r="508">
      <c r="F508" s="40"/>
    </row>
    <row r="509">
      <c r="F509" s="40"/>
    </row>
    <row r="510">
      <c r="F510" s="40"/>
    </row>
    <row r="511">
      <c r="F511" s="40"/>
    </row>
    <row r="512">
      <c r="F512" s="40"/>
    </row>
    <row r="513">
      <c r="F513" s="40"/>
    </row>
    <row r="514">
      <c r="F514" s="40"/>
    </row>
    <row r="515">
      <c r="F515" s="40"/>
    </row>
    <row r="516">
      <c r="F516" s="40"/>
    </row>
    <row r="517">
      <c r="F517" s="40"/>
    </row>
    <row r="518">
      <c r="F518" s="40"/>
    </row>
    <row r="519">
      <c r="F519" s="40"/>
    </row>
    <row r="520">
      <c r="F520" s="40"/>
    </row>
    <row r="521">
      <c r="F521" s="40"/>
    </row>
    <row r="522">
      <c r="F522" s="40"/>
    </row>
    <row r="523">
      <c r="F523" s="40"/>
    </row>
    <row r="524">
      <c r="F524" s="40"/>
    </row>
    <row r="525">
      <c r="F525" s="40"/>
    </row>
    <row r="526">
      <c r="F526" s="40"/>
    </row>
    <row r="527">
      <c r="F527" s="40"/>
    </row>
    <row r="528">
      <c r="F528" s="40"/>
    </row>
    <row r="529">
      <c r="F529" s="40"/>
    </row>
    <row r="530">
      <c r="F530" s="40"/>
    </row>
    <row r="531">
      <c r="F531" s="40"/>
    </row>
    <row r="532">
      <c r="F532" s="40"/>
    </row>
    <row r="533">
      <c r="F533" s="40"/>
    </row>
    <row r="534">
      <c r="F534" s="40"/>
    </row>
    <row r="535">
      <c r="F535" s="40"/>
    </row>
    <row r="536">
      <c r="F536" s="40"/>
    </row>
    <row r="537">
      <c r="F537" s="40"/>
    </row>
    <row r="538">
      <c r="F538" s="40"/>
    </row>
    <row r="539">
      <c r="F539" s="40"/>
    </row>
    <row r="540">
      <c r="F540" s="40"/>
    </row>
    <row r="541">
      <c r="F541" s="40"/>
    </row>
    <row r="542">
      <c r="F542" s="40"/>
    </row>
    <row r="543">
      <c r="F543" s="40"/>
    </row>
    <row r="544">
      <c r="F544" s="40"/>
    </row>
    <row r="545">
      <c r="F545" s="40"/>
    </row>
    <row r="546">
      <c r="F546" s="40"/>
    </row>
    <row r="547">
      <c r="F547" s="40"/>
    </row>
    <row r="548">
      <c r="F548" s="40"/>
    </row>
    <row r="549">
      <c r="F549" s="40"/>
    </row>
    <row r="550">
      <c r="F550" s="40"/>
    </row>
    <row r="551">
      <c r="F551" s="40"/>
    </row>
    <row r="552">
      <c r="F552" s="40"/>
    </row>
    <row r="553">
      <c r="F553" s="40"/>
    </row>
    <row r="554">
      <c r="F554" s="40"/>
    </row>
    <row r="555">
      <c r="F555" s="40"/>
    </row>
    <row r="556">
      <c r="F556" s="40"/>
    </row>
    <row r="557">
      <c r="F557" s="40"/>
    </row>
    <row r="558">
      <c r="F558" s="40"/>
    </row>
    <row r="559">
      <c r="F559" s="40"/>
    </row>
    <row r="560">
      <c r="F560" s="40"/>
    </row>
    <row r="561">
      <c r="F561" s="40"/>
    </row>
    <row r="562">
      <c r="F562" s="40"/>
    </row>
    <row r="563">
      <c r="F563" s="40"/>
    </row>
    <row r="564">
      <c r="F564" s="40"/>
    </row>
    <row r="565">
      <c r="F565" s="40"/>
    </row>
    <row r="566">
      <c r="F566" s="40"/>
    </row>
    <row r="567">
      <c r="F567" s="40"/>
    </row>
    <row r="568">
      <c r="F568" s="40"/>
    </row>
    <row r="569">
      <c r="F569" s="40"/>
    </row>
    <row r="570">
      <c r="F570" s="40"/>
    </row>
    <row r="571">
      <c r="F571" s="40"/>
    </row>
    <row r="572">
      <c r="F572" s="40"/>
    </row>
    <row r="573">
      <c r="F573" s="40"/>
    </row>
    <row r="574">
      <c r="F574" s="40"/>
    </row>
    <row r="575">
      <c r="F575" s="40"/>
    </row>
    <row r="576">
      <c r="F576" s="40"/>
    </row>
    <row r="577">
      <c r="F577" s="40"/>
    </row>
    <row r="578">
      <c r="F578" s="40"/>
    </row>
    <row r="579">
      <c r="F579" s="40"/>
    </row>
    <row r="580">
      <c r="F580" s="40"/>
    </row>
    <row r="581">
      <c r="F581" s="40"/>
    </row>
    <row r="582">
      <c r="F582" s="40"/>
    </row>
    <row r="583">
      <c r="F583" s="40"/>
    </row>
    <row r="584">
      <c r="F584" s="40"/>
    </row>
    <row r="585">
      <c r="F585" s="40"/>
    </row>
    <row r="586">
      <c r="F586" s="40"/>
    </row>
    <row r="587">
      <c r="F587" s="40"/>
    </row>
    <row r="588">
      <c r="F588" s="40"/>
    </row>
    <row r="589">
      <c r="F589" s="40"/>
    </row>
    <row r="590">
      <c r="F590" s="40"/>
    </row>
    <row r="591">
      <c r="F591" s="40"/>
    </row>
    <row r="592">
      <c r="F592" s="40"/>
    </row>
    <row r="593">
      <c r="F593" s="40"/>
    </row>
    <row r="594">
      <c r="F594" s="40"/>
    </row>
    <row r="595">
      <c r="F595" s="40"/>
    </row>
    <row r="596">
      <c r="F596" s="40"/>
    </row>
    <row r="597">
      <c r="F597" s="40"/>
    </row>
    <row r="598">
      <c r="F598" s="40"/>
    </row>
    <row r="599">
      <c r="F599" s="40"/>
    </row>
    <row r="600">
      <c r="F600" s="40"/>
    </row>
    <row r="601">
      <c r="F601" s="40"/>
    </row>
    <row r="602">
      <c r="F602" s="40"/>
    </row>
    <row r="603">
      <c r="F603" s="40"/>
    </row>
    <row r="604">
      <c r="F604" s="40"/>
    </row>
    <row r="605">
      <c r="F605" s="40"/>
    </row>
    <row r="606">
      <c r="F606" s="40"/>
    </row>
    <row r="607">
      <c r="F607" s="40"/>
    </row>
    <row r="608">
      <c r="F608" s="40"/>
    </row>
    <row r="609">
      <c r="F609" s="40"/>
    </row>
    <row r="610">
      <c r="F610" s="40"/>
    </row>
    <row r="611">
      <c r="F611" s="40"/>
    </row>
    <row r="612">
      <c r="F612" s="40"/>
    </row>
    <row r="613">
      <c r="F613" s="40"/>
    </row>
    <row r="614">
      <c r="F614" s="40"/>
    </row>
    <row r="615">
      <c r="F615" s="40"/>
    </row>
    <row r="616">
      <c r="F616" s="40"/>
    </row>
    <row r="617">
      <c r="F617" s="40"/>
    </row>
    <row r="618">
      <c r="F618" s="40"/>
    </row>
    <row r="619">
      <c r="F619" s="40"/>
    </row>
    <row r="620">
      <c r="F620" s="40"/>
    </row>
    <row r="621">
      <c r="F621" s="40"/>
    </row>
    <row r="622">
      <c r="F622" s="40"/>
    </row>
    <row r="623">
      <c r="F623" s="40"/>
    </row>
    <row r="624">
      <c r="F624" s="40"/>
    </row>
    <row r="625">
      <c r="F625" s="40"/>
    </row>
    <row r="626">
      <c r="F626" s="40"/>
    </row>
    <row r="627">
      <c r="F627" s="40"/>
    </row>
    <row r="628">
      <c r="F628" s="40"/>
    </row>
    <row r="629">
      <c r="F629" s="40"/>
    </row>
    <row r="630">
      <c r="F630" s="40"/>
    </row>
    <row r="631">
      <c r="F631" s="40"/>
    </row>
    <row r="632">
      <c r="F632" s="40"/>
    </row>
    <row r="633">
      <c r="F633" s="40"/>
    </row>
    <row r="634">
      <c r="F634" s="40"/>
    </row>
    <row r="635">
      <c r="F635" s="40"/>
    </row>
    <row r="636">
      <c r="F636" s="40"/>
    </row>
    <row r="637">
      <c r="F637" s="40"/>
    </row>
    <row r="638">
      <c r="F638" s="40"/>
    </row>
    <row r="639">
      <c r="F639" s="40"/>
    </row>
    <row r="640">
      <c r="F640" s="40"/>
    </row>
    <row r="641">
      <c r="F641" s="40"/>
    </row>
    <row r="642">
      <c r="F642" s="40"/>
    </row>
    <row r="643">
      <c r="F643" s="40"/>
    </row>
    <row r="644">
      <c r="F644" s="40"/>
    </row>
    <row r="645">
      <c r="F645" s="40"/>
    </row>
    <row r="646">
      <c r="F646" s="40"/>
    </row>
    <row r="647">
      <c r="F647" s="40"/>
    </row>
    <row r="648">
      <c r="F648" s="40"/>
    </row>
    <row r="649">
      <c r="F649" s="40"/>
    </row>
    <row r="650">
      <c r="F650" s="40"/>
    </row>
    <row r="651">
      <c r="F651" s="40"/>
    </row>
    <row r="652">
      <c r="F652" s="40"/>
    </row>
    <row r="653">
      <c r="F653" s="40"/>
    </row>
    <row r="654">
      <c r="F654" s="40"/>
    </row>
    <row r="655">
      <c r="F655" s="40"/>
    </row>
    <row r="656">
      <c r="F656" s="40"/>
    </row>
    <row r="657">
      <c r="F657" s="40"/>
    </row>
    <row r="658">
      <c r="F658" s="40"/>
    </row>
    <row r="659">
      <c r="F659" s="40"/>
    </row>
    <row r="660">
      <c r="F660" s="40"/>
    </row>
    <row r="661">
      <c r="F661" s="40"/>
    </row>
    <row r="662">
      <c r="F662" s="40"/>
    </row>
    <row r="663">
      <c r="F663" s="40"/>
    </row>
    <row r="664">
      <c r="F664" s="40"/>
    </row>
    <row r="665">
      <c r="F665" s="40"/>
    </row>
    <row r="666">
      <c r="F666" s="40"/>
    </row>
    <row r="667">
      <c r="F667" s="40"/>
    </row>
    <row r="668">
      <c r="F668" s="40"/>
    </row>
    <row r="669">
      <c r="F669" s="40"/>
    </row>
    <row r="670">
      <c r="F670" s="40"/>
    </row>
    <row r="671">
      <c r="F671" s="40"/>
    </row>
    <row r="672">
      <c r="F672" s="40"/>
    </row>
    <row r="673">
      <c r="F673" s="40"/>
    </row>
    <row r="674">
      <c r="F674" s="40"/>
    </row>
    <row r="675">
      <c r="F675" s="40"/>
    </row>
    <row r="676">
      <c r="F676" s="40"/>
    </row>
    <row r="677">
      <c r="F677" s="40"/>
    </row>
    <row r="678">
      <c r="F678" s="40"/>
    </row>
    <row r="679">
      <c r="F679" s="40"/>
    </row>
    <row r="680">
      <c r="F680" s="40"/>
    </row>
    <row r="681">
      <c r="F681" s="40"/>
    </row>
    <row r="682">
      <c r="F682" s="40"/>
    </row>
    <row r="683">
      <c r="F683" s="40"/>
    </row>
    <row r="684">
      <c r="F684" s="40"/>
    </row>
    <row r="685">
      <c r="F685" s="40"/>
    </row>
    <row r="686">
      <c r="F686" s="40"/>
    </row>
    <row r="687">
      <c r="F687" s="40"/>
    </row>
    <row r="688">
      <c r="F688" s="40"/>
    </row>
    <row r="689">
      <c r="F689" s="40"/>
    </row>
    <row r="690">
      <c r="F690" s="40"/>
    </row>
    <row r="691">
      <c r="F691" s="40"/>
    </row>
    <row r="692">
      <c r="F692" s="40"/>
    </row>
    <row r="693">
      <c r="F693" s="40"/>
    </row>
    <row r="694">
      <c r="F694" s="40"/>
    </row>
    <row r="695">
      <c r="F695" s="40"/>
    </row>
    <row r="696">
      <c r="F696" s="40"/>
    </row>
    <row r="697">
      <c r="F697" s="40"/>
    </row>
    <row r="698">
      <c r="F698" s="40"/>
    </row>
    <row r="699">
      <c r="F699" s="40"/>
    </row>
    <row r="700">
      <c r="F700" s="40"/>
    </row>
    <row r="701">
      <c r="F701" s="40"/>
    </row>
    <row r="702">
      <c r="F702" s="40"/>
    </row>
    <row r="703">
      <c r="F703" s="40"/>
    </row>
    <row r="704">
      <c r="F704" s="40"/>
    </row>
    <row r="705">
      <c r="F705" s="40"/>
    </row>
    <row r="706">
      <c r="F706" s="40"/>
    </row>
    <row r="707">
      <c r="F707" s="40"/>
    </row>
    <row r="708">
      <c r="F708" s="40"/>
    </row>
    <row r="709">
      <c r="F709" s="40"/>
    </row>
    <row r="710">
      <c r="F710" s="40"/>
    </row>
    <row r="711">
      <c r="F711" s="40"/>
    </row>
    <row r="712">
      <c r="F712" s="40"/>
    </row>
    <row r="713">
      <c r="F713" s="40"/>
    </row>
    <row r="714">
      <c r="F714" s="40"/>
    </row>
    <row r="715">
      <c r="F715" s="40"/>
    </row>
    <row r="716">
      <c r="F716" s="40"/>
    </row>
    <row r="717">
      <c r="F717" s="40"/>
    </row>
    <row r="718">
      <c r="F718" s="40"/>
    </row>
    <row r="719">
      <c r="F719" s="40"/>
    </row>
    <row r="720">
      <c r="F720" s="40"/>
    </row>
    <row r="721">
      <c r="F721" s="40"/>
    </row>
    <row r="722">
      <c r="F722" s="40"/>
    </row>
    <row r="723">
      <c r="F723" s="40"/>
    </row>
    <row r="724">
      <c r="F724" s="40"/>
    </row>
    <row r="725">
      <c r="F725" s="40"/>
    </row>
    <row r="726">
      <c r="F726" s="40"/>
    </row>
    <row r="727">
      <c r="F727" s="40"/>
    </row>
    <row r="728">
      <c r="F728" s="40"/>
    </row>
    <row r="729">
      <c r="F729" s="40"/>
    </row>
    <row r="730">
      <c r="F730" s="40"/>
    </row>
    <row r="731">
      <c r="F731" s="40"/>
    </row>
    <row r="732">
      <c r="F732" s="40"/>
    </row>
    <row r="733">
      <c r="F733" s="40"/>
    </row>
    <row r="734">
      <c r="F734" s="40"/>
    </row>
    <row r="735">
      <c r="F735" s="40"/>
    </row>
    <row r="736">
      <c r="F736" s="40"/>
    </row>
    <row r="737">
      <c r="F737" s="40"/>
    </row>
    <row r="738">
      <c r="F738" s="40"/>
    </row>
    <row r="739">
      <c r="F739" s="40"/>
    </row>
    <row r="740">
      <c r="F740" s="40"/>
    </row>
    <row r="741">
      <c r="F741" s="40"/>
    </row>
    <row r="742">
      <c r="F742" s="40"/>
    </row>
    <row r="743">
      <c r="F743" s="40"/>
    </row>
    <row r="744">
      <c r="F744" s="40"/>
    </row>
    <row r="745">
      <c r="F745" s="40"/>
    </row>
    <row r="746">
      <c r="F746" s="40"/>
    </row>
    <row r="747">
      <c r="F747" s="40"/>
    </row>
    <row r="748">
      <c r="F748" s="40"/>
    </row>
    <row r="749">
      <c r="F749" s="40"/>
    </row>
    <row r="750">
      <c r="F750" s="40"/>
    </row>
    <row r="751">
      <c r="F751" s="40"/>
    </row>
    <row r="752">
      <c r="F752" s="40"/>
    </row>
    <row r="753">
      <c r="F753" s="40"/>
    </row>
    <row r="754">
      <c r="F754" s="40"/>
    </row>
    <row r="755">
      <c r="F755" s="40"/>
    </row>
    <row r="756">
      <c r="F756" s="40"/>
    </row>
    <row r="757">
      <c r="F757" s="40"/>
    </row>
    <row r="758">
      <c r="F758" s="40"/>
    </row>
    <row r="759">
      <c r="F759" s="40"/>
    </row>
    <row r="760">
      <c r="F760" s="40"/>
    </row>
    <row r="761">
      <c r="F761" s="40"/>
    </row>
    <row r="762">
      <c r="F762" s="40"/>
    </row>
    <row r="763">
      <c r="F763" s="40"/>
    </row>
    <row r="764">
      <c r="F764" s="40"/>
    </row>
    <row r="765">
      <c r="F765" s="40"/>
    </row>
    <row r="766">
      <c r="F766" s="40"/>
    </row>
    <row r="767">
      <c r="F767" s="40"/>
    </row>
    <row r="768">
      <c r="F768" s="40"/>
    </row>
    <row r="769">
      <c r="F769" s="40"/>
    </row>
    <row r="770">
      <c r="F770" s="40"/>
    </row>
    <row r="771">
      <c r="F771" s="40"/>
    </row>
    <row r="772">
      <c r="F772" s="40"/>
    </row>
    <row r="773">
      <c r="F773" s="40"/>
    </row>
    <row r="774">
      <c r="F774" s="40"/>
    </row>
    <row r="775">
      <c r="F775" s="40"/>
    </row>
    <row r="776">
      <c r="F776" s="40"/>
    </row>
    <row r="777">
      <c r="F777" s="40"/>
    </row>
    <row r="778">
      <c r="F778" s="40"/>
    </row>
    <row r="779">
      <c r="F779" s="40"/>
    </row>
    <row r="780">
      <c r="F780" s="40"/>
    </row>
    <row r="781">
      <c r="F781" s="40"/>
    </row>
    <row r="782">
      <c r="F782" s="40"/>
    </row>
    <row r="783">
      <c r="F783" s="40"/>
    </row>
    <row r="784">
      <c r="F784" s="40"/>
    </row>
    <row r="785">
      <c r="F785" s="40"/>
    </row>
    <row r="786">
      <c r="F786" s="40"/>
    </row>
    <row r="787">
      <c r="F787" s="40"/>
    </row>
    <row r="788">
      <c r="F788" s="40"/>
    </row>
    <row r="789">
      <c r="F789" s="40"/>
    </row>
    <row r="790">
      <c r="F790" s="40"/>
    </row>
    <row r="791">
      <c r="F791" s="40"/>
    </row>
    <row r="792">
      <c r="F792" s="40"/>
    </row>
    <row r="793">
      <c r="F793" s="40"/>
    </row>
    <row r="794">
      <c r="F794" s="40"/>
    </row>
    <row r="795">
      <c r="F795" s="40"/>
    </row>
    <row r="796">
      <c r="F796" s="40"/>
    </row>
    <row r="797">
      <c r="F797" s="40"/>
    </row>
    <row r="798">
      <c r="F798" s="40"/>
    </row>
    <row r="799">
      <c r="F799" s="40"/>
    </row>
    <row r="800">
      <c r="F800" s="40"/>
    </row>
    <row r="801">
      <c r="F801" s="40"/>
    </row>
    <row r="802">
      <c r="F802" s="40"/>
    </row>
    <row r="803">
      <c r="F803" s="40"/>
    </row>
    <row r="804">
      <c r="F804" s="40"/>
    </row>
    <row r="805">
      <c r="F805" s="40"/>
    </row>
    <row r="806">
      <c r="F806" s="40"/>
    </row>
    <row r="807">
      <c r="F807" s="40"/>
    </row>
    <row r="808">
      <c r="F808" s="40"/>
    </row>
    <row r="809">
      <c r="F809" s="40"/>
    </row>
    <row r="810">
      <c r="F810" s="40"/>
    </row>
    <row r="811">
      <c r="F811" s="40"/>
    </row>
    <row r="812">
      <c r="F812" s="40"/>
    </row>
    <row r="813">
      <c r="F813" s="40"/>
    </row>
    <row r="814">
      <c r="F814" s="40"/>
    </row>
    <row r="815">
      <c r="F815" s="40"/>
    </row>
    <row r="816">
      <c r="F816" s="40"/>
    </row>
    <row r="817">
      <c r="F817" s="40"/>
    </row>
    <row r="818">
      <c r="F818" s="40"/>
    </row>
    <row r="819">
      <c r="F819" s="40"/>
    </row>
    <row r="820">
      <c r="F820" s="40"/>
    </row>
    <row r="821">
      <c r="F821" s="40"/>
    </row>
    <row r="822">
      <c r="F822" s="40"/>
    </row>
    <row r="823">
      <c r="F823" s="40"/>
    </row>
    <row r="824">
      <c r="F824" s="40"/>
    </row>
    <row r="825">
      <c r="F825" s="40"/>
    </row>
    <row r="826">
      <c r="F826" s="40"/>
    </row>
    <row r="827">
      <c r="F827" s="40"/>
    </row>
    <row r="828">
      <c r="F828" s="40"/>
    </row>
    <row r="829">
      <c r="F829" s="40"/>
    </row>
    <row r="830">
      <c r="F830" s="40"/>
    </row>
    <row r="831">
      <c r="F831" s="40"/>
    </row>
    <row r="832">
      <c r="F832" s="40"/>
    </row>
    <row r="833">
      <c r="F833" s="40"/>
    </row>
    <row r="834">
      <c r="F834" s="40"/>
    </row>
    <row r="835">
      <c r="F835" s="40"/>
    </row>
    <row r="836">
      <c r="F836" s="40"/>
    </row>
    <row r="837">
      <c r="F837" s="40"/>
    </row>
    <row r="838">
      <c r="F838" s="40"/>
    </row>
    <row r="839">
      <c r="F839" s="40"/>
    </row>
    <row r="840">
      <c r="F840" s="40"/>
    </row>
    <row r="841">
      <c r="F841" s="40"/>
    </row>
    <row r="842">
      <c r="F842" s="40"/>
    </row>
    <row r="843">
      <c r="F843" s="40"/>
    </row>
    <row r="844">
      <c r="F844" s="40"/>
    </row>
    <row r="845">
      <c r="F845" s="40"/>
    </row>
    <row r="846">
      <c r="F846" s="40"/>
    </row>
    <row r="847">
      <c r="F847" s="40"/>
    </row>
    <row r="848">
      <c r="F848" s="40"/>
    </row>
    <row r="849">
      <c r="F849" s="40"/>
    </row>
    <row r="850">
      <c r="F850" s="40"/>
    </row>
    <row r="851">
      <c r="F851" s="40"/>
    </row>
    <row r="852">
      <c r="F852" s="40"/>
    </row>
    <row r="853">
      <c r="F853" s="40"/>
    </row>
    <row r="854">
      <c r="F854" s="40"/>
    </row>
    <row r="855">
      <c r="F855" s="40"/>
    </row>
    <row r="856">
      <c r="F856" s="40"/>
    </row>
    <row r="857">
      <c r="F857" s="40"/>
    </row>
    <row r="858">
      <c r="F858" s="40"/>
    </row>
    <row r="859">
      <c r="F859" s="40"/>
    </row>
    <row r="860">
      <c r="F860" s="40"/>
    </row>
    <row r="861">
      <c r="F861" s="40"/>
    </row>
    <row r="862">
      <c r="F862" s="40"/>
    </row>
    <row r="863">
      <c r="F863" s="40"/>
    </row>
    <row r="864">
      <c r="F864" s="40"/>
    </row>
    <row r="865">
      <c r="F865" s="40"/>
    </row>
    <row r="866">
      <c r="F866" s="40"/>
    </row>
    <row r="867">
      <c r="F867" s="40"/>
    </row>
    <row r="868">
      <c r="F868" s="40"/>
    </row>
    <row r="869">
      <c r="F869" s="40"/>
    </row>
    <row r="870">
      <c r="F870" s="40"/>
    </row>
    <row r="871">
      <c r="F871" s="40"/>
    </row>
    <row r="872">
      <c r="F872" s="40"/>
    </row>
    <row r="873">
      <c r="F873" s="40"/>
    </row>
    <row r="874">
      <c r="F874" s="40"/>
    </row>
    <row r="875">
      <c r="F875" s="40"/>
    </row>
    <row r="876">
      <c r="F876" s="40"/>
    </row>
    <row r="877">
      <c r="F877" s="40"/>
    </row>
    <row r="878">
      <c r="F878" s="40"/>
    </row>
    <row r="879">
      <c r="F879" s="40"/>
    </row>
    <row r="880">
      <c r="F880" s="40"/>
    </row>
    <row r="881">
      <c r="F881" s="40"/>
    </row>
    <row r="882">
      <c r="F882" s="40"/>
    </row>
    <row r="883">
      <c r="F883" s="40"/>
    </row>
    <row r="884">
      <c r="F884" s="40"/>
    </row>
    <row r="885">
      <c r="F885" s="40"/>
    </row>
    <row r="886">
      <c r="F886" s="40"/>
    </row>
    <row r="887">
      <c r="F887" s="40"/>
    </row>
    <row r="888">
      <c r="F888" s="40"/>
    </row>
    <row r="889">
      <c r="F889" s="40"/>
    </row>
    <row r="890">
      <c r="F890" s="40"/>
    </row>
    <row r="891">
      <c r="F891" s="40"/>
    </row>
    <row r="892">
      <c r="F892" s="40"/>
    </row>
    <row r="893">
      <c r="F893" s="40"/>
    </row>
    <row r="894">
      <c r="F894" s="40"/>
    </row>
    <row r="895">
      <c r="F895" s="40"/>
    </row>
    <row r="896">
      <c r="F896" s="40"/>
    </row>
    <row r="897">
      <c r="F897" s="40"/>
    </row>
    <row r="898">
      <c r="F898" s="40"/>
    </row>
    <row r="899">
      <c r="F899" s="40"/>
    </row>
    <row r="900">
      <c r="F900" s="40"/>
    </row>
    <row r="901">
      <c r="F901" s="40"/>
    </row>
    <row r="902">
      <c r="F902" s="40"/>
    </row>
    <row r="903">
      <c r="F903" s="40"/>
    </row>
    <row r="904">
      <c r="F904" s="40"/>
    </row>
    <row r="905">
      <c r="F905" s="40"/>
    </row>
    <row r="906">
      <c r="F906" s="40"/>
    </row>
    <row r="907">
      <c r="F907" s="40"/>
    </row>
    <row r="908">
      <c r="F908" s="40"/>
    </row>
    <row r="909">
      <c r="F909" s="40"/>
    </row>
    <row r="910">
      <c r="F910" s="40"/>
    </row>
    <row r="911">
      <c r="F911" s="40"/>
    </row>
    <row r="912">
      <c r="F912" s="40"/>
    </row>
    <row r="913">
      <c r="F913" s="40"/>
    </row>
    <row r="914">
      <c r="F914" s="40"/>
    </row>
    <row r="915">
      <c r="F915" s="40"/>
    </row>
    <row r="916">
      <c r="F916" s="40"/>
    </row>
    <row r="917">
      <c r="F917" s="40"/>
    </row>
    <row r="918">
      <c r="F918" s="40"/>
    </row>
    <row r="919">
      <c r="F919" s="40"/>
    </row>
    <row r="920">
      <c r="F920" s="40"/>
    </row>
    <row r="921">
      <c r="F921" s="40"/>
    </row>
    <row r="922">
      <c r="F922" s="40"/>
    </row>
    <row r="923">
      <c r="F923" s="40"/>
    </row>
    <row r="924">
      <c r="F924" s="40"/>
    </row>
    <row r="925">
      <c r="F925" s="40"/>
    </row>
    <row r="926">
      <c r="F926" s="40"/>
    </row>
    <row r="927">
      <c r="F927" s="40"/>
    </row>
    <row r="928">
      <c r="F928" s="40"/>
    </row>
    <row r="929">
      <c r="F929" s="40"/>
    </row>
    <row r="930">
      <c r="F930" s="40"/>
    </row>
    <row r="931">
      <c r="F931" s="40"/>
    </row>
    <row r="932">
      <c r="F932" s="40"/>
    </row>
    <row r="933">
      <c r="F933" s="40"/>
    </row>
    <row r="934">
      <c r="F934" s="40"/>
    </row>
    <row r="935">
      <c r="F935" s="40"/>
    </row>
    <row r="936">
      <c r="F936" s="40"/>
    </row>
    <row r="937">
      <c r="F937" s="40"/>
    </row>
    <row r="938">
      <c r="F938" s="40"/>
    </row>
    <row r="939">
      <c r="F939" s="40"/>
    </row>
    <row r="940">
      <c r="F940" s="40"/>
    </row>
    <row r="941">
      <c r="F941" s="40"/>
    </row>
    <row r="942">
      <c r="F942" s="40"/>
    </row>
    <row r="943">
      <c r="F943" s="40"/>
    </row>
    <row r="944">
      <c r="F944" s="40"/>
    </row>
    <row r="945">
      <c r="F945" s="40"/>
    </row>
    <row r="946">
      <c r="F946" s="40"/>
    </row>
    <row r="947">
      <c r="F947" s="40"/>
    </row>
    <row r="948">
      <c r="F948" s="40"/>
    </row>
    <row r="949">
      <c r="F949" s="40"/>
    </row>
    <row r="950">
      <c r="F950" s="40"/>
    </row>
    <row r="951">
      <c r="F951" s="40"/>
    </row>
    <row r="952">
      <c r="F952" s="40"/>
    </row>
    <row r="953">
      <c r="F953" s="40"/>
    </row>
    <row r="954">
      <c r="F954" s="40"/>
    </row>
    <row r="955">
      <c r="F955" s="40"/>
    </row>
    <row r="956">
      <c r="F956" s="40"/>
    </row>
    <row r="957">
      <c r="F957" s="40"/>
    </row>
    <row r="958">
      <c r="F958" s="40"/>
    </row>
    <row r="959">
      <c r="F959" s="40"/>
    </row>
    <row r="960">
      <c r="F960" s="40"/>
    </row>
    <row r="961">
      <c r="F961" s="40"/>
    </row>
    <row r="962">
      <c r="F962" s="40"/>
    </row>
    <row r="963">
      <c r="F963" s="40"/>
    </row>
    <row r="964">
      <c r="F964" s="40"/>
    </row>
    <row r="965">
      <c r="F965" s="40"/>
    </row>
    <row r="966">
      <c r="F966" s="40"/>
    </row>
    <row r="967">
      <c r="F967" s="40"/>
    </row>
    <row r="968">
      <c r="F968" s="40"/>
    </row>
    <row r="969">
      <c r="F969" s="40"/>
    </row>
    <row r="970">
      <c r="F970" s="40"/>
    </row>
    <row r="971">
      <c r="F971" s="40"/>
    </row>
    <row r="972">
      <c r="F972" s="40"/>
    </row>
    <row r="973">
      <c r="F973" s="40"/>
    </row>
    <row r="974">
      <c r="F974" s="40"/>
    </row>
    <row r="975">
      <c r="F975" s="40"/>
    </row>
    <row r="976">
      <c r="F976" s="40"/>
    </row>
    <row r="977">
      <c r="F977" s="40"/>
    </row>
    <row r="978">
      <c r="F978" s="40"/>
    </row>
    <row r="979">
      <c r="F979" s="40"/>
    </row>
    <row r="980">
      <c r="F980" s="40"/>
    </row>
    <row r="981">
      <c r="F981" s="40"/>
    </row>
    <row r="982">
      <c r="F982" s="40"/>
    </row>
    <row r="983">
      <c r="F983" s="40"/>
    </row>
    <row r="984">
      <c r="F984" s="40"/>
    </row>
    <row r="985">
      <c r="F985" s="40"/>
    </row>
    <row r="986">
      <c r="F986" s="40"/>
    </row>
    <row r="987">
      <c r="F987" s="40"/>
    </row>
    <row r="988">
      <c r="F988" s="40"/>
    </row>
    <row r="989">
      <c r="F989" s="40"/>
    </row>
    <row r="990">
      <c r="F990" s="40"/>
    </row>
    <row r="991">
      <c r="F991" s="40"/>
    </row>
  </sheetData>
  <mergeCells count="27">
    <mergeCell ref="A3:C4"/>
    <mergeCell ref="B7:B8"/>
    <mergeCell ref="B9:B11"/>
    <mergeCell ref="B12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52:B54"/>
    <mergeCell ref="B55:B57"/>
    <mergeCell ref="B58:B60"/>
    <mergeCell ref="B61:B62"/>
    <mergeCell ref="B63:B64"/>
    <mergeCell ref="B65:B66"/>
    <mergeCell ref="B35:B36"/>
    <mergeCell ref="B39:B40"/>
    <mergeCell ref="B41:B42"/>
    <mergeCell ref="B43:B44"/>
    <mergeCell ref="B45:B46"/>
    <mergeCell ref="B47:B48"/>
    <mergeCell ref="B49:B5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0</v>
      </c>
      <c r="B2" s="4"/>
      <c r="C2" s="5"/>
    </row>
    <row r="3">
      <c r="A3" s="6"/>
      <c r="B3" s="7"/>
      <c r="C3" s="8"/>
    </row>
    <row r="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10" t="s">
        <v>6</v>
      </c>
      <c r="G5" s="9" t="s">
        <v>7</v>
      </c>
      <c r="H5" s="9" t="s">
        <v>8</v>
      </c>
      <c r="I5" s="11"/>
    </row>
    <row r="6">
      <c r="A6" s="12">
        <v>1.0</v>
      </c>
      <c r="B6" s="50">
        <v>45779.0</v>
      </c>
      <c r="C6" s="14" t="s">
        <v>27</v>
      </c>
      <c r="D6" s="15" t="s">
        <v>11</v>
      </c>
      <c r="E6" s="16" t="s">
        <v>22</v>
      </c>
      <c r="F6" s="24">
        <v>0.0</v>
      </c>
      <c r="G6" s="25">
        <v>248.0</v>
      </c>
      <c r="H6" s="18">
        <v>356.0</v>
      </c>
      <c r="I6" s="12"/>
    </row>
    <row r="7">
      <c r="A7" s="12">
        <v>2.0</v>
      </c>
      <c r="B7" s="43">
        <v>45780.0</v>
      </c>
      <c r="C7" s="14" t="s">
        <v>27</v>
      </c>
      <c r="D7" s="16" t="s">
        <v>11</v>
      </c>
      <c r="E7" s="16" t="s">
        <v>22</v>
      </c>
      <c r="F7" s="24">
        <v>647409.0</v>
      </c>
      <c r="G7" s="25">
        <v>316.0</v>
      </c>
      <c r="H7" s="18">
        <v>0.0</v>
      </c>
      <c r="I7" s="12"/>
    </row>
    <row r="8">
      <c r="A8" s="12">
        <v>3.0</v>
      </c>
      <c r="B8" s="43">
        <v>45781.0</v>
      </c>
      <c r="C8" s="14" t="s">
        <v>27</v>
      </c>
      <c r="D8" s="15" t="s">
        <v>11</v>
      </c>
      <c r="E8" s="16" t="s">
        <v>22</v>
      </c>
      <c r="F8" s="24">
        <v>273592.0</v>
      </c>
      <c r="G8" s="25">
        <v>351.0</v>
      </c>
      <c r="H8" s="18">
        <v>103.0</v>
      </c>
      <c r="I8" s="12"/>
    </row>
    <row r="9">
      <c r="A9" s="12">
        <v>4.0</v>
      </c>
      <c r="B9" s="13">
        <v>45782.0</v>
      </c>
      <c r="C9" s="14" t="s">
        <v>10</v>
      </c>
      <c r="D9" s="15" t="s">
        <v>11</v>
      </c>
      <c r="E9" s="16" t="s">
        <v>22</v>
      </c>
      <c r="F9" s="24">
        <v>897433.0</v>
      </c>
      <c r="G9" s="25">
        <v>97.0</v>
      </c>
      <c r="H9" s="18">
        <v>453.0</v>
      </c>
      <c r="I9" s="12"/>
    </row>
    <row r="10">
      <c r="A10" s="12">
        <v>5.0</v>
      </c>
      <c r="B10" s="21"/>
      <c r="C10" s="14" t="s">
        <v>29</v>
      </c>
      <c r="D10" s="16" t="s">
        <v>11</v>
      </c>
      <c r="E10" s="16" t="s">
        <v>22</v>
      </c>
      <c r="F10" s="24">
        <v>1991933.0</v>
      </c>
      <c r="G10" s="25">
        <v>96.0</v>
      </c>
      <c r="H10" s="18">
        <v>1.0</v>
      </c>
      <c r="I10" s="12"/>
    </row>
    <row r="11">
      <c r="A11" s="12">
        <v>6.0</v>
      </c>
      <c r="B11" s="20"/>
      <c r="C11" s="14" t="s">
        <v>27</v>
      </c>
      <c r="D11" s="15" t="s">
        <v>11</v>
      </c>
      <c r="E11" s="16" t="s">
        <v>22</v>
      </c>
      <c r="F11" s="24">
        <v>0.0</v>
      </c>
      <c r="G11" s="25">
        <v>333.0</v>
      </c>
      <c r="H11" s="18">
        <v>128.0</v>
      </c>
      <c r="I11" s="12"/>
    </row>
    <row r="12">
      <c r="A12" s="12">
        <v>7.0</v>
      </c>
      <c r="B12" s="13">
        <v>45783.0</v>
      </c>
      <c r="C12" s="14" t="s">
        <v>10</v>
      </c>
      <c r="D12" s="15" t="s">
        <v>11</v>
      </c>
      <c r="E12" s="16" t="s">
        <v>16</v>
      </c>
      <c r="F12" s="17">
        <v>0.0</v>
      </c>
      <c r="G12" s="18">
        <v>99.0</v>
      </c>
      <c r="H12" s="18">
        <v>3.0</v>
      </c>
      <c r="I12" s="12"/>
    </row>
    <row r="13">
      <c r="A13" s="12">
        <v>8.0</v>
      </c>
      <c r="B13" s="21"/>
      <c r="C13" s="14" t="s">
        <v>29</v>
      </c>
      <c r="D13" s="15" t="s">
        <v>11</v>
      </c>
      <c r="E13" s="16" t="s">
        <v>16</v>
      </c>
      <c r="F13" s="17">
        <v>298148.0</v>
      </c>
      <c r="G13" s="18">
        <v>93.0</v>
      </c>
      <c r="H13" s="18">
        <v>1.0</v>
      </c>
      <c r="I13" s="12"/>
    </row>
    <row r="14">
      <c r="A14" s="12">
        <v>9.0</v>
      </c>
      <c r="B14" s="20"/>
      <c r="C14" s="14" t="s">
        <v>27</v>
      </c>
      <c r="D14" s="15" t="s">
        <v>11</v>
      </c>
      <c r="E14" s="16" t="s">
        <v>22</v>
      </c>
      <c r="F14" s="17">
        <v>0.0</v>
      </c>
      <c r="G14" s="18">
        <v>232.0</v>
      </c>
      <c r="H14" s="18">
        <v>38.0</v>
      </c>
      <c r="I14" s="12"/>
    </row>
    <row r="15">
      <c r="A15" s="12">
        <v>10.0</v>
      </c>
      <c r="B15" s="13">
        <v>45784.0</v>
      </c>
      <c r="C15" s="14" t="s">
        <v>30</v>
      </c>
      <c r="D15" s="16" t="s">
        <v>11</v>
      </c>
      <c r="E15" s="16" t="s">
        <v>16</v>
      </c>
      <c r="F15" s="17">
        <v>0.0</v>
      </c>
      <c r="G15" s="18">
        <v>112.0</v>
      </c>
      <c r="H15" s="18">
        <v>7.0</v>
      </c>
      <c r="I15" s="12"/>
    </row>
    <row r="16">
      <c r="A16" s="12">
        <v>11.0</v>
      </c>
      <c r="B16" s="21"/>
      <c r="C16" s="14" t="s">
        <v>13</v>
      </c>
      <c r="D16" s="15" t="s">
        <v>11</v>
      </c>
      <c r="E16" s="16" t="s">
        <v>22</v>
      </c>
      <c r="F16" s="17">
        <v>180274.0</v>
      </c>
      <c r="G16" s="18">
        <v>266.0</v>
      </c>
      <c r="H16" s="18">
        <v>1.0</v>
      </c>
      <c r="I16" s="12"/>
    </row>
    <row r="17">
      <c r="A17" s="12">
        <v>12.0</v>
      </c>
      <c r="B17" s="13">
        <v>45785.0</v>
      </c>
      <c r="C17" s="14" t="s">
        <v>30</v>
      </c>
      <c r="D17" s="15" t="s">
        <v>11</v>
      </c>
      <c r="E17" s="16" t="s">
        <v>16</v>
      </c>
      <c r="F17" s="17">
        <v>985627.0</v>
      </c>
      <c r="G17" s="18">
        <v>103.0</v>
      </c>
      <c r="H17" s="18">
        <v>120.0</v>
      </c>
      <c r="I17" s="12"/>
    </row>
    <row r="18">
      <c r="A18" s="12">
        <v>13.0</v>
      </c>
      <c r="B18" s="21"/>
      <c r="C18" s="14" t="s">
        <v>13</v>
      </c>
      <c r="D18" s="15" t="s">
        <v>11</v>
      </c>
      <c r="E18" s="16" t="s">
        <v>22</v>
      </c>
      <c r="F18" s="17">
        <v>1266769.0</v>
      </c>
      <c r="G18" s="18">
        <v>341.0</v>
      </c>
      <c r="H18" s="18">
        <v>70.0</v>
      </c>
      <c r="I18" s="12"/>
    </row>
    <row r="19">
      <c r="A19" s="12">
        <v>14.0</v>
      </c>
      <c r="B19" s="13">
        <v>45786.0</v>
      </c>
      <c r="C19" s="14" t="s">
        <v>30</v>
      </c>
      <c r="D19" s="15" t="s">
        <v>11</v>
      </c>
      <c r="E19" s="16" t="s">
        <v>16</v>
      </c>
      <c r="F19" s="17">
        <v>946038.0</v>
      </c>
      <c r="G19" s="18">
        <v>129.0</v>
      </c>
      <c r="H19" s="60">
        <v>22.0</v>
      </c>
      <c r="I19" s="12"/>
    </row>
    <row r="20">
      <c r="A20" s="12">
        <v>15.0</v>
      </c>
      <c r="B20" s="21"/>
      <c r="C20" s="14" t="s">
        <v>13</v>
      </c>
      <c r="D20" s="15" t="s">
        <v>11</v>
      </c>
      <c r="E20" s="16" t="s">
        <v>22</v>
      </c>
      <c r="F20" s="17">
        <v>0.0</v>
      </c>
      <c r="G20" s="18">
        <v>347.0</v>
      </c>
      <c r="H20" s="18">
        <v>105.0</v>
      </c>
      <c r="I20" s="12"/>
    </row>
    <row r="21">
      <c r="A21" s="12">
        <v>16.0</v>
      </c>
      <c r="B21" s="13">
        <v>45787.0</v>
      </c>
      <c r="C21" s="14" t="s">
        <v>30</v>
      </c>
      <c r="D21" s="15" t="s">
        <v>11</v>
      </c>
      <c r="E21" s="16" t="s">
        <v>22</v>
      </c>
      <c r="F21" s="24">
        <v>0.0</v>
      </c>
      <c r="G21" s="25">
        <v>113.0</v>
      </c>
      <c r="H21" s="25">
        <v>0.0</v>
      </c>
      <c r="I21" s="12"/>
    </row>
    <row r="22">
      <c r="A22" s="14">
        <v>17.0</v>
      </c>
      <c r="B22" s="13"/>
      <c r="C22" s="14" t="s">
        <v>13</v>
      </c>
      <c r="D22" s="15"/>
      <c r="E22" s="16"/>
      <c r="F22" s="24">
        <v>0.0</v>
      </c>
      <c r="G22" s="25">
        <v>383.0</v>
      </c>
      <c r="H22" s="61"/>
      <c r="I22" s="12"/>
    </row>
    <row r="23">
      <c r="A23" s="14">
        <v>18.0</v>
      </c>
      <c r="B23" s="13">
        <v>45788.0</v>
      </c>
      <c r="C23" s="14" t="s">
        <v>30</v>
      </c>
      <c r="D23" s="15" t="s">
        <v>11</v>
      </c>
      <c r="E23" s="16" t="s">
        <v>22</v>
      </c>
      <c r="F23" s="24">
        <v>0.0</v>
      </c>
      <c r="G23" s="25">
        <v>486.0</v>
      </c>
      <c r="H23" s="25">
        <v>45.0</v>
      </c>
      <c r="I23" s="12"/>
    </row>
    <row r="24">
      <c r="A24" s="14">
        <v>19.0</v>
      </c>
      <c r="B24" s="13">
        <v>45789.0</v>
      </c>
      <c r="C24" s="14" t="s">
        <v>30</v>
      </c>
      <c r="D24" s="15" t="s">
        <v>11</v>
      </c>
      <c r="E24" s="16" t="s">
        <v>16</v>
      </c>
      <c r="F24" s="24">
        <v>319752.0</v>
      </c>
      <c r="G24" s="25">
        <v>142.0</v>
      </c>
      <c r="H24" s="25">
        <v>27.0</v>
      </c>
      <c r="I24" s="27"/>
    </row>
    <row r="25">
      <c r="A25" s="14">
        <v>20.0</v>
      </c>
      <c r="B25" s="21"/>
      <c r="C25" s="14" t="s">
        <v>13</v>
      </c>
      <c r="D25" s="15" t="s">
        <v>11</v>
      </c>
      <c r="E25" s="16" t="s">
        <v>22</v>
      </c>
      <c r="F25" s="24">
        <v>0.0</v>
      </c>
      <c r="G25" s="25">
        <v>327.0</v>
      </c>
      <c r="H25" s="25">
        <v>24.0</v>
      </c>
      <c r="I25" s="27"/>
    </row>
    <row r="26">
      <c r="A26" s="14">
        <v>21.0</v>
      </c>
      <c r="B26" s="13">
        <v>45790.0</v>
      </c>
      <c r="C26" s="14" t="s">
        <v>30</v>
      </c>
      <c r="D26" s="15" t="s">
        <v>11</v>
      </c>
      <c r="E26" s="16" t="s">
        <v>16</v>
      </c>
      <c r="F26" s="24">
        <v>0.0</v>
      </c>
      <c r="G26" s="25">
        <v>115.0</v>
      </c>
      <c r="H26" s="61"/>
      <c r="I26" s="27"/>
    </row>
    <row r="27">
      <c r="A27" s="14">
        <v>22.0</v>
      </c>
      <c r="B27" s="21"/>
      <c r="C27" s="14" t="s">
        <v>13</v>
      </c>
      <c r="D27" s="15" t="s">
        <v>11</v>
      </c>
      <c r="E27" s="16" t="s">
        <v>22</v>
      </c>
      <c r="F27" s="24">
        <v>0.0</v>
      </c>
      <c r="G27" s="25">
        <v>277.0</v>
      </c>
      <c r="H27" s="25">
        <v>2.0</v>
      </c>
      <c r="I27" s="27"/>
    </row>
    <row r="28">
      <c r="A28" s="14">
        <v>23.0</v>
      </c>
      <c r="B28" s="13">
        <v>45791.0</v>
      </c>
      <c r="C28" s="14" t="s">
        <v>30</v>
      </c>
      <c r="D28" s="15" t="s">
        <v>11</v>
      </c>
      <c r="E28" s="16" t="s">
        <v>16</v>
      </c>
      <c r="F28" s="24">
        <v>0.0</v>
      </c>
      <c r="G28" s="25">
        <v>95.0</v>
      </c>
      <c r="H28" s="61"/>
      <c r="I28" s="27"/>
    </row>
    <row r="29">
      <c r="A29" s="14">
        <v>24.0</v>
      </c>
      <c r="B29" s="21"/>
      <c r="C29" s="14" t="s">
        <v>13</v>
      </c>
      <c r="D29" s="15" t="s">
        <v>11</v>
      </c>
      <c r="E29" s="16" t="s">
        <v>22</v>
      </c>
      <c r="F29" s="24">
        <v>0.0</v>
      </c>
      <c r="G29" s="25">
        <v>225.0</v>
      </c>
      <c r="H29" s="25">
        <v>200.0</v>
      </c>
      <c r="I29" s="27"/>
    </row>
    <row r="30">
      <c r="A30" s="14">
        <v>25.0</v>
      </c>
      <c r="B30" s="13">
        <v>45792.0</v>
      </c>
      <c r="C30" s="14" t="s">
        <v>30</v>
      </c>
      <c r="D30" s="15" t="s">
        <v>11</v>
      </c>
      <c r="E30" s="16" t="s">
        <v>16</v>
      </c>
      <c r="F30" s="24">
        <v>355916.0</v>
      </c>
      <c r="G30" s="25">
        <v>86.0</v>
      </c>
      <c r="H30" s="26"/>
      <c r="I30" s="27"/>
    </row>
    <row r="31">
      <c r="A31" s="14">
        <v>26.0</v>
      </c>
      <c r="B31" s="21"/>
      <c r="C31" s="14" t="s">
        <v>13</v>
      </c>
      <c r="D31" s="15" t="s">
        <v>11</v>
      </c>
      <c r="E31" s="16" t="s">
        <v>22</v>
      </c>
      <c r="F31" s="24">
        <v>0.0</v>
      </c>
      <c r="G31" s="25">
        <v>253.0</v>
      </c>
      <c r="H31" s="25">
        <v>0.0</v>
      </c>
      <c r="I31" s="27"/>
    </row>
    <row r="32">
      <c r="A32" s="14">
        <v>27.0</v>
      </c>
      <c r="B32" s="13">
        <v>45793.0</v>
      </c>
      <c r="C32" s="14" t="s">
        <v>30</v>
      </c>
      <c r="D32" s="15" t="s">
        <v>11</v>
      </c>
      <c r="E32" s="16" t="s">
        <v>16</v>
      </c>
      <c r="F32" s="24">
        <v>359640.0</v>
      </c>
      <c r="G32" s="25">
        <v>122.0</v>
      </c>
      <c r="H32" s="26"/>
      <c r="I32" s="27"/>
    </row>
    <row r="33">
      <c r="A33" s="14">
        <v>28.0</v>
      </c>
      <c r="B33" s="21"/>
      <c r="C33" s="14" t="s">
        <v>13</v>
      </c>
      <c r="D33" s="15" t="s">
        <v>11</v>
      </c>
      <c r="E33" s="16" t="s">
        <v>22</v>
      </c>
      <c r="F33" s="24">
        <v>0.0</v>
      </c>
      <c r="G33" s="25">
        <v>233.0</v>
      </c>
      <c r="H33" s="25">
        <v>5.0</v>
      </c>
      <c r="I33" s="27"/>
    </row>
    <row r="34">
      <c r="A34" s="14">
        <v>29.0</v>
      </c>
      <c r="B34" s="13">
        <v>45794.0</v>
      </c>
      <c r="C34" s="14" t="s">
        <v>13</v>
      </c>
      <c r="D34" s="15" t="s">
        <v>11</v>
      </c>
      <c r="E34" s="16" t="s">
        <v>22</v>
      </c>
      <c r="F34" s="24">
        <v>0.0</v>
      </c>
      <c r="G34" s="25">
        <v>314.0</v>
      </c>
      <c r="H34" s="25">
        <v>262.0</v>
      </c>
      <c r="I34" s="27"/>
    </row>
    <row r="35">
      <c r="A35" s="14">
        <v>30.0</v>
      </c>
      <c r="B35" s="13">
        <v>45795.0</v>
      </c>
      <c r="C35" s="14" t="s">
        <v>13</v>
      </c>
      <c r="D35" s="15" t="s">
        <v>11</v>
      </c>
      <c r="E35" s="16" t="s">
        <v>22</v>
      </c>
      <c r="F35" s="24">
        <v>282352.0</v>
      </c>
      <c r="G35" s="25">
        <v>350.0</v>
      </c>
      <c r="H35" s="25">
        <v>26.0</v>
      </c>
      <c r="I35" s="27"/>
    </row>
    <row r="36">
      <c r="A36" s="14">
        <v>31.0</v>
      </c>
      <c r="B36" s="13">
        <v>45796.0</v>
      </c>
      <c r="C36" s="14" t="s">
        <v>30</v>
      </c>
      <c r="D36" s="15" t="s">
        <v>11</v>
      </c>
      <c r="E36" s="16" t="s">
        <v>16</v>
      </c>
      <c r="F36" s="24">
        <v>1294149.0</v>
      </c>
      <c r="G36" s="25">
        <v>131.0</v>
      </c>
      <c r="H36" s="25">
        <v>1.0</v>
      </c>
      <c r="I36" s="27"/>
    </row>
    <row r="37">
      <c r="A37" s="14">
        <v>32.0</v>
      </c>
      <c r="B37" s="20"/>
      <c r="C37" s="14" t="s">
        <v>13</v>
      </c>
      <c r="D37" s="16" t="s">
        <v>11</v>
      </c>
      <c r="E37" s="16" t="s">
        <v>22</v>
      </c>
      <c r="F37" s="24">
        <v>556816.0</v>
      </c>
      <c r="G37" s="25">
        <v>312.0</v>
      </c>
      <c r="H37" s="25">
        <v>88.0</v>
      </c>
      <c r="I37" s="27"/>
    </row>
    <row r="38">
      <c r="A38" s="14">
        <v>33.0</v>
      </c>
      <c r="B38" s="13">
        <v>45797.0</v>
      </c>
      <c r="C38" s="14" t="s">
        <v>30</v>
      </c>
      <c r="D38" s="15" t="s">
        <v>11</v>
      </c>
      <c r="E38" s="16" t="s">
        <v>16</v>
      </c>
      <c r="F38" s="24">
        <v>796880.0</v>
      </c>
      <c r="G38" s="25">
        <v>126.0</v>
      </c>
      <c r="H38" s="26"/>
      <c r="I38" s="27"/>
    </row>
    <row r="39">
      <c r="A39" s="14">
        <v>34.0</v>
      </c>
      <c r="B39" s="21"/>
      <c r="C39" s="14" t="s">
        <v>13</v>
      </c>
      <c r="D39" s="15" t="s">
        <v>11</v>
      </c>
      <c r="E39" s="16" t="s">
        <v>22</v>
      </c>
      <c r="F39" s="24">
        <v>0.0</v>
      </c>
      <c r="G39" s="25">
        <v>317.0</v>
      </c>
      <c r="H39" s="25">
        <v>77.0</v>
      </c>
      <c r="I39" s="27"/>
    </row>
    <row r="40">
      <c r="A40" s="14">
        <v>35.0</v>
      </c>
      <c r="B40" s="13">
        <v>45798.0</v>
      </c>
      <c r="C40" s="14" t="s">
        <v>30</v>
      </c>
      <c r="D40" s="15" t="s">
        <v>11</v>
      </c>
      <c r="E40" s="16" t="s">
        <v>16</v>
      </c>
      <c r="F40" s="24">
        <v>0.0</v>
      </c>
      <c r="G40" s="25">
        <v>111.0</v>
      </c>
      <c r="H40" s="61"/>
      <c r="I40" s="27"/>
    </row>
    <row r="41">
      <c r="A41" s="14">
        <v>36.0</v>
      </c>
      <c r="B41" s="21"/>
      <c r="C41" s="14" t="s">
        <v>34</v>
      </c>
      <c r="D41" s="15" t="s">
        <v>11</v>
      </c>
      <c r="E41" s="16" t="s">
        <v>22</v>
      </c>
      <c r="F41" s="24">
        <v>0.0</v>
      </c>
      <c r="G41" s="25">
        <v>126.0</v>
      </c>
      <c r="H41" s="25">
        <v>210.0</v>
      </c>
      <c r="I41" s="27"/>
    </row>
    <row r="42">
      <c r="A42" s="14">
        <v>37.0</v>
      </c>
      <c r="B42" s="13">
        <v>45799.0</v>
      </c>
      <c r="C42" s="14" t="s">
        <v>30</v>
      </c>
      <c r="D42" s="15" t="s">
        <v>11</v>
      </c>
      <c r="E42" s="16" t="s">
        <v>16</v>
      </c>
      <c r="F42" s="24">
        <v>0.0</v>
      </c>
      <c r="G42" s="25">
        <v>72.0</v>
      </c>
      <c r="H42" s="26"/>
      <c r="I42" s="27"/>
    </row>
    <row r="43">
      <c r="A43" s="14">
        <v>38.0</v>
      </c>
      <c r="B43" s="21"/>
      <c r="C43" s="14" t="s">
        <v>34</v>
      </c>
      <c r="D43" s="15" t="s">
        <v>11</v>
      </c>
      <c r="E43" s="16" t="s">
        <v>22</v>
      </c>
      <c r="F43" s="24">
        <v>0.0</v>
      </c>
      <c r="G43" s="25">
        <v>98.0</v>
      </c>
      <c r="H43" s="25">
        <v>106.0</v>
      </c>
      <c r="I43" s="27"/>
    </row>
    <row r="44">
      <c r="A44" s="14">
        <v>39.0</v>
      </c>
      <c r="B44" s="13">
        <v>45800.0</v>
      </c>
      <c r="C44" s="14" t="s">
        <v>30</v>
      </c>
      <c r="D44" s="15" t="s">
        <v>11</v>
      </c>
      <c r="E44" s="16" t="s">
        <v>16</v>
      </c>
      <c r="F44" s="24">
        <v>1773760.0</v>
      </c>
      <c r="G44" s="25">
        <v>113.0</v>
      </c>
      <c r="H44" s="25">
        <v>194.0</v>
      </c>
      <c r="I44" s="27"/>
    </row>
    <row r="45">
      <c r="A45" s="14">
        <v>40.0</v>
      </c>
      <c r="B45" s="21"/>
      <c r="C45" s="14" t="s">
        <v>34</v>
      </c>
      <c r="D45" s="15" t="s">
        <v>11</v>
      </c>
      <c r="E45" s="16" t="s">
        <v>22</v>
      </c>
      <c r="F45" s="24">
        <v>0.0</v>
      </c>
      <c r="G45" s="25">
        <v>196.0</v>
      </c>
      <c r="H45" s="25">
        <v>100.0</v>
      </c>
      <c r="I45" s="27"/>
    </row>
    <row r="46">
      <c r="A46" s="14">
        <v>41.0</v>
      </c>
      <c r="B46" s="13">
        <v>45801.0</v>
      </c>
      <c r="C46" s="14" t="s">
        <v>30</v>
      </c>
      <c r="D46" s="16" t="s">
        <v>11</v>
      </c>
      <c r="E46" s="16" t="s">
        <v>16</v>
      </c>
      <c r="F46" s="24">
        <v>4391593.0</v>
      </c>
      <c r="G46" s="25">
        <v>169.0</v>
      </c>
      <c r="H46" s="25">
        <v>200.0</v>
      </c>
      <c r="I46" s="27"/>
    </row>
    <row r="47">
      <c r="A47" s="14">
        <v>42.0</v>
      </c>
      <c r="B47" s="21"/>
      <c r="C47" s="14" t="s">
        <v>13</v>
      </c>
      <c r="D47" s="15" t="s">
        <v>11</v>
      </c>
      <c r="E47" s="16" t="s">
        <v>22</v>
      </c>
      <c r="F47" s="24">
        <v>0.0</v>
      </c>
      <c r="G47" s="25">
        <v>121.0</v>
      </c>
      <c r="H47" s="62">
        <v>21.0</v>
      </c>
      <c r="I47" s="27"/>
    </row>
    <row r="48">
      <c r="A48" s="14">
        <v>43.0</v>
      </c>
      <c r="B48" s="13">
        <v>45802.0</v>
      </c>
      <c r="C48" s="14" t="s">
        <v>10</v>
      </c>
      <c r="D48" s="15" t="s">
        <v>11</v>
      </c>
      <c r="E48" s="16" t="s">
        <v>16</v>
      </c>
      <c r="F48" s="24">
        <v>1574786.0</v>
      </c>
      <c r="G48" s="25">
        <v>244.0</v>
      </c>
      <c r="H48" s="61"/>
      <c r="I48" s="27"/>
    </row>
    <row r="49">
      <c r="A49" s="14">
        <v>44.0</v>
      </c>
      <c r="B49" s="21"/>
      <c r="C49" s="14" t="s">
        <v>29</v>
      </c>
      <c r="D49" s="16" t="s">
        <v>11</v>
      </c>
      <c r="E49" s="16" t="s">
        <v>22</v>
      </c>
      <c r="F49" s="24">
        <v>668329.0</v>
      </c>
      <c r="G49" s="25">
        <v>146.0</v>
      </c>
      <c r="H49" s="25">
        <v>25.0</v>
      </c>
      <c r="I49" s="27"/>
    </row>
    <row r="50">
      <c r="A50" s="14">
        <v>45.0</v>
      </c>
      <c r="B50" s="20"/>
      <c r="C50" s="14" t="s">
        <v>34</v>
      </c>
      <c r="D50" s="15" t="s">
        <v>11</v>
      </c>
      <c r="E50" s="16" t="s">
        <v>22</v>
      </c>
      <c r="F50" s="24">
        <v>1793229.0</v>
      </c>
      <c r="G50" s="25">
        <v>319.0</v>
      </c>
      <c r="H50" s="25">
        <v>244.0</v>
      </c>
      <c r="I50" s="27"/>
    </row>
    <row r="51">
      <c r="A51" s="14">
        <v>46.0</v>
      </c>
      <c r="B51" s="43">
        <v>45803.0</v>
      </c>
      <c r="C51" s="14" t="s">
        <v>29</v>
      </c>
      <c r="D51" s="15" t="s">
        <v>11</v>
      </c>
      <c r="E51" s="16" t="s">
        <v>16</v>
      </c>
      <c r="F51" s="63">
        <v>1044381.0</v>
      </c>
      <c r="G51" s="25">
        <v>175.0</v>
      </c>
      <c r="H51" s="25">
        <v>28.0</v>
      </c>
      <c r="I51" s="27"/>
    </row>
    <row r="52">
      <c r="A52" s="14">
        <v>47.0</v>
      </c>
      <c r="B52" s="20"/>
      <c r="C52" s="14" t="s">
        <v>34</v>
      </c>
      <c r="D52" s="15" t="s">
        <v>11</v>
      </c>
      <c r="E52" s="16" t="s">
        <v>22</v>
      </c>
      <c r="F52" s="24">
        <v>933108.0</v>
      </c>
      <c r="G52" s="25">
        <v>439.0</v>
      </c>
      <c r="H52" s="25">
        <v>490.0</v>
      </c>
      <c r="I52" s="27"/>
    </row>
    <row r="53">
      <c r="A53" s="14">
        <v>48.0</v>
      </c>
      <c r="B53" s="13">
        <v>45804.0</v>
      </c>
      <c r="C53" s="14" t="s">
        <v>30</v>
      </c>
      <c r="D53" s="16" t="s">
        <v>11</v>
      </c>
      <c r="E53" s="16" t="s">
        <v>16</v>
      </c>
      <c r="F53" s="24">
        <v>0.0</v>
      </c>
      <c r="G53" s="25">
        <v>184.0</v>
      </c>
      <c r="H53" s="61"/>
      <c r="I53" s="27"/>
    </row>
    <row r="54">
      <c r="A54" s="14">
        <v>49.0</v>
      </c>
      <c r="B54" s="21"/>
      <c r="C54" s="14" t="s">
        <v>29</v>
      </c>
      <c r="D54" s="15" t="s">
        <v>11</v>
      </c>
      <c r="E54" s="16" t="s">
        <v>16</v>
      </c>
      <c r="F54" s="24">
        <v>0.0</v>
      </c>
      <c r="G54" s="25">
        <v>172.0</v>
      </c>
      <c r="H54" s="26"/>
      <c r="I54" s="27"/>
    </row>
    <row r="55">
      <c r="A55" s="14">
        <v>50.0</v>
      </c>
      <c r="B55" s="21"/>
      <c r="C55" s="14" t="s">
        <v>34</v>
      </c>
      <c r="D55" s="15" t="s">
        <v>11</v>
      </c>
      <c r="E55" s="16" t="s">
        <v>22</v>
      </c>
      <c r="F55" s="24">
        <v>828843.0</v>
      </c>
      <c r="G55" s="25">
        <v>360.0</v>
      </c>
      <c r="H55" s="25">
        <v>311.0</v>
      </c>
      <c r="I55" s="27"/>
    </row>
    <row r="56">
      <c r="A56" s="14">
        <v>51.0</v>
      </c>
      <c r="B56" s="20"/>
      <c r="C56" s="14" t="s">
        <v>13</v>
      </c>
      <c r="D56" s="16" t="s">
        <v>11</v>
      </c>
      <c r="E56" s="16" t="s">
        <v>16</v>
      </c>
      <c r="F56" s="24">
        <v>609270.0</v>
      </c>
      <c r="G56" s="25">
        <v>537.0</v>
      </c>
      <c r="H56" s="26"/>
      <c r="I56" s="27"/>
    </row>
    <row r="57">
      <c r="A57" s="14">
        <v>52.0</v>
      </c>
      <c r="B57" s="13">
        <v>45805.0</v>
      </c>
      <c r="C57" s="14" t="s">
        <v>30</v>
      </c>
      <c r="D57" s="15" t="s">
        <v>11</v>
      </c>
      <c r="E57" s="16" t="s">
        <v>16</v>
      </c>
      <c r="F57" s="24">
        <v>1.1362061E7</v>
      </c>
      <c r="G57" s="25">
        <v>371.0</v>
      </c>
      <c r="H57" s="25">
        <v>16.0</v>
      </c>
      <c r="I57" s="27"/>
    </row>
    <row r="58">
      <c r="A58" s="14">
        <v>53.0</v>
      </c>
      <c r="B58" s="21"/>
      <c r="C58" s="14" t="s">
        <v>34</v>
      </c>
      <c r="D58" s="15" t="s">
        <v>11</v>
      </c>
      <c r="E58" s="16" t="s">
        <v>22</v>
      </c>
      <c r="F58" s="24">
        <v>3871100.0</v>
      </c>
      <c r="G58" s="25">
        <v>421.0</v>
      </c>
      <c r="H58" s="25">
        <v>23.0</v>
      </c>
      <c r="I58" s="27"/>
    </row>
    <row r="59">
      <c r="A59" s="14">
        <v>54.0</v>
      </c>
      <c r="B59" s="13">
        <v>45806.0</v>
      </c>
      <c r="C59" s="14" t="s">
        <v>30</v>
      </c>
      <c r="D59" s="16" t="s">
        <v>11</v>
      </c>
      <c r="E59" s="16" t="s">
        <v>16</v>
      </c>
      <c r="F59" s="64">
        <v>2.2149814E7</v>
      </c>
      <c r="G59" s="25">
        <v>418.0</v>
      </c>
      <c r="H59" s="25">
        <v>607.0</v>
      </c>
      <c r="I59" s="27"/>
    </row>
    <row r="60">
      <c r="A60" s="14">
        <v>55.0</v>
      </c>
      <c r="B60" s="21"/>
      <c r="C60" s="14" t="s">
        <v>34</v>
      </c>
      <c r="D60" s="15" t="s">
        <v>11</v>
      </c>
      <c r="E60" s="16" t="s">
        <v>22</v>
      </c>
      <c r="F60" s="24">
        <v>1285181.0</v>
      </c>
      <c r="G60" s="25">
        <v>471.0</v>
      </c>
      <c r="H60" s="25">
        <v>200.0</v>
      </c>
      <c r="I60" s="27"/>
    </row>
    <row r="61">
      <c r="A61" s="14">
        <v>56.0</v>
      </c>
      <c r="B61" s="13">
        <v>45807.0</v>
      </c>
      <c r="C61" s="14" t="s">
        <v>30</v>
      </c>
      <c r="D61" s="15" t="s">
        <v>11</v>
      </c>
      <c r="E61" s="16" t="s">
        <v>16</v>
      </c>
      <c r="F61" s="24">
        <v>4.483226E7</v>
      </c>
      <c r="G61" s="25">
        <v>303.0</v>
      </c>
      <c r="H61" s="25">
        <v>40.0</v>
      </c>
      <c r="I61" s="27"/>
    </row>
    <row r="62">
      <c r="A62" s="14">
        <v>57.0</v>
      </c>
      <c r="B62" s="21"/>
      <c r="C62" s="14" t="s">
        <v>34</v>
      </c>
      <c r="D62" s="16" t="s">
        <v>11</v>
      </c>
      <c r="E62" s="16" t="s">
        <v>22</v>
      </c>
      <c r="F62" s="24">
        <v>8.62727E7</v>
      </c>
      <c r="G62" s="25">
        <v>334.0</v>
      </c>
      <c r="H62" s="25">
        <v>35.0</v>
      </c>
      <c r="I62" s="27"/>
    </row>
    <row r="63">
      <c r="A63" s="14">
        <v>58.0</v>
      </c>
      <c r="B63" s="13">
        <v>45808.0</v>
      </c>
      <c r="C63" s="14" t="s">
        <v>34</v>
      </c>
      <c r="D63" s="15" t="s">
        <v>11</v>
      </c>
      <c r="E63" s="16" t="s">
        <v>22</v>
      </c>
      <c r="F63" s="24">
        <v>496700.0</v>
      </c>
      <c r="G63" s="25">
        <v>440.0</v>
      </c>
      <c r="H63" s="25">
        <v>66.0</v>
      </c>
      <c r="I63" s="27"/>
    </row>
    <row r="64">
      <c r="A64" s="14">
        <v>59.0</v>
      </c>
      <c r="B64" s="43">
        <v>45809.0</v>
      </c>
      <c r="C64" s="14" t="s">
        <v>34</v>
      </c>
      <c r="D64" s="16" t="s">
        <v>11</v>
      </c>
      <c r="E64" s="16" t="s">
        <v>22</v>
      </c>
      <c r="F64" s="24">
        <v>4473476.0</v>
      </c>
      <c r="G64" s="25">
        <v>294.0</v>
      </c>
      <c r="H64" s="25">
        <v>103.0</v>
      </c>
      <c r="I64" s="27"/>
    </row>
    <row r="65">
      <c r="A65" s="14">
        <v>60.0</v>
      </c>
      <c r="B65" s="13">
        <v>45810.0</v>
      </c>
      <c r="C65" s="14" t="s">
        <v>30</v>
      </c>
      <c r="D65" s="16" t="s">
        <v>11</v>
      </c>
      <c r="E65" s="16" t="s">
        <v>16</v>
      </c>
      <c r="F65" s="64">
        <v>2.2785225E7</v>
      </c>
      <c r="G65" s="25">
        <v>247.0</v>
      </c>
      <c r="H65" s="26"/>
      <c r="I65" s="27"/>
    </row>
    <row r="66">
      <c r="A66" s="14">
        <v>61.0</v>
      </c>
      <c r="B66" s="20"/>
      <c r="C66" s="14" t="s">
        <v>34</v>
      </c>
      <c r="D66" s="16" t="s">
        <v>11</v>
      </c>
      <c r="E66" s="16" t="s">
        <v>22</v>
      </c>
      <c r="F66" s="24">
        <v>530635.0</v>
      </c>
      <c r="G66" s="25">
        <v>271.0</v>
      </c>
      <c r="H66" s="25">
        <v>272.0</v>
      </c>
      <c r="I66" s="27"/>
    </row>
    <row r="67">
      <c r="A67" s="14"/>
      <c r="B67" s="13"/>
      <c r="C67" s="14"/>
      <c r="D67" s="15"/>
      <c r="E67" s="16"/>
      <c r="F67" s="65">
        <f>SUM(F6:F66)</f>
        <v>223129179</v>
      </c>
      <c r="G67" s="26"/>
      <c r="H67" s="26"/>
      <c r="I67" s="27"/>
    </row>
    <row r="68">
      <c r="A68" s="14"/>
      <c r="B68" s="13"/>
      <c r="C68" s="14"/>
      <c r="D68" s="15"/>
      <c r="E68" s="16"/>
      <c r="F68" s="65"/>
      <c r="G68" s="26"/>
      <c r="H68" s="26"/>
      <c r="I68" s="27"/>
    </row>
    <row r="69">
      <c r="A69" s="14"/>
      <c r="B69" s="13"/>
      <c r="C69" s="14"/>
      <c r="D69" s="15"/>
      <c r="E69" s="16"/>
      <c r="F69" s="65"/>
      <c r="G69" s="26"/>
      <c r="H69" s="26"/>
      <c r="I69" s="27"/>
    </row>
    <row r="70">
      <c r="A70" s="14"/>
      <c r="B70" s="13"/>
      <c r="C70" s="14"/>
      <c r="D70" s="15"/>
      <c r="E70" s="16"/>
      <c r="F70" s="65"/>
      <c r="G70" s="26"/>
      <c r="H70" s="26"/>
      <c r="I70" s="27"/>
    </row>
    <row r="71">
      <c r="A71" s="14"/>
      <c r="B71" s="13"/>
      <c r="C71" s="14"/>
      <c r="D71" s="15"/>
      <c r="E71" s="16"/>
      <c r="F71" s="65"/>
      <c r="G71" s="26"/>
      <c r="H71" s="26"/>
      <c r="I71" s="27"/>
    </row>
    <row r="72">
      <c r="A72" s="14"/>
      <c r="B72" s="13"/>
      <c r="C72" s="14"/>
      <c r="D72" s="15"/>
      <c r="E72" s="16"/>
      <c r="F72" s="65"/>
      <c r="G72" s="26"/>
      <c r="H72" s="26"/>
      <c r="I72" s="27"/>
    </row>
    <row r="73">
      <c r="A73" s="14"/>
      <c r="B73" s="13"/>
      <c r="C73" s="14"/>
      <c r="D73" s="15"/>
      <c r="E73" s="16"/>
      <c r="F73" s="65"/>
      <c r="G73" s="26"/>
      <c r="H73" s="26"/>
      <c r="I73" s="27"/>
    </row>
    <row r="74">
      <c r="G74" s="2"/>
      <c r="H74" s="2"/>
    </row>
    <row r="75">
      <c r="E75" s="57" t="s">
        <v>35</v>
      </c>
      <c r="G75" s="2"/>
      <c r="H75" s="2"/>
    </row>
    <row r="76">
      <c r="E76" s="58" t="s">
        <v>16</v>
      </c>
      <c r="F76" s="58" t="s">
        <v>36</v>
      </c>
      <c r="G76" s="2"/>
      <c r="H76" s="2"/>
    </row>
    <row r="77">
      <c r="E77" s="58" t="s">
        <v>22</v>
      </c>
      <c r="F77" s="58" t="s">
        <v>37</v>
      </c>
      <c r="G77" s="2"/>
      <c r="H77" s="2"/>
    </row>
    <row r="78">
      <c r="G78" s="2"/>
      <c r="H78" s="2"/>
    </row>
    <row r="79">
      <c r="G79" s="2"/>
      <c r="H79" s="2"/>
    </row>
    <row r="80">
      <c r="G80" s="2"/>
      <c r="H80" s="2"/>
    </row>
    <row r="81">
      <c r="G81" s="2"/>
      <c r="H81" s="2"/>
    </row>
    <row r="82">
      <c r="G82" s="2"/>
      <c r="H82" s="2"/>
    </row>
    <row r="83">
      <c r="G83" s="2"/>
      <c r="H83" s="2"/>
    </row>
    <row r="84">
      <c r="G84" s="2"/>
      <c r="H84" s="2"/>
    </row>
    <row r="85">
      <c r="G85" s="2"/>
      <c r="H85" s="2"/>
    </row>
    <row r="86">
      <c r="G86" s="2"/>
      <c r="H86" s="2"/>
    </row>
    <row r="87">
      <c r="G87" s="2"/>
      <c r="H87" s="2"/>
    </row>
    <row r="88">
      <c r="G88" s="2"/>
      <c r="H88" s="2"/>
    </row>
    <row r="89">
      <c r="G89" s="2"/>
      <c r="H89" s="2"/>
    </row>
    <row r="90">
      <c r="G90" s="2"/>
      <c r="H90" s="2"/>
    </row>
    <row r="91">
      <c r="G91" s="2"/>
      <c r="H91" s="2"/>
    </row>
    <row r="92">
      <c r="G92" s="2"/>
      <c r="H92" s="2"/>
    </row>
    <row r="93">
      <c r="G93" s="2"/>
      <c r="H93" s="2"/>
    </row>
    <row r="94">
      <c r="G94" s="2"/>
      <c r="H94" s="2"/>
    </row>
    <row r="95">
      <c r="G95" s="2"/>
      <c r="H95" s="2"/>
    </row>
    <row r="96">
      <c r="G96" s="2"/>
      <c r="H96" s="2"/>
    </row>
    <row r="97">
      <c r="G97" s="2"/>
      <c r="H97" s="2"/>
    </row>
    <row r="98">
      <c r="G98" s="2"/>
      <c r="H98" s="2"/>
    </row>
    <row r="99">
      <c r="G99" s="2"/>
      <c r="H99" s="2"/>
    </row>
    <row r="100">
      <c r="G100" s="2"/>
      <c r="H100" s="2"/>
    </row>
    <row r="101">
      <c r="G101" s="2"/>
      <c r="H101" s="2"/>
    </row>
    <row r="102">
      <c r="G102" s="2"/>
      <c r="H102" s="2"/>
    </row>
    <row r="103">
      <c r="G103" s="2"/>
      <c r="H103" s="2"/>
    </row>
    <row r="104">
      <c r="G104" s="2"/>
      <c r="H104" s="2"/>
    </row>
    <row r="105">
      <c r="G105" s="2"/>
      <c r="H105" s="2"/>
    </row>
    <row r="106">
      <c r="G106" s="2"/>
      <c r="H106" s="2"/>
    </row>
    <row r="107">
      <c r="G107" s="2"/>
      <c r="H107" s="2"/>
    </row>
    <row r="108">
      <c r="G108" s="2"/>
      <c r="H108" s="2"/>
    </row>
    <row r="109">
      <c r="G109" s="2"/>
      <c r="H109" s="2"/>
    </row>
    <row r="110">
      <c r="G110" s="2"/>
      <c r="H110" s="2"/>
    </row>
    <row r="111">
      <c r="G111" s="2"/>
      <c r="H111" s="2"/>
    </row>
    <row r="112">
      <c r="G112" s="2"/>
      <c r="H112" s="2"/>
    </row>
    <row r="113">
      <c r="G113" s="2"/>
      <c r="H113" s="2"/>
    </row>
  </sheetData>
  <mergeCells count="24">
    <mergeCell ref="A2:C3"/>
    <mergeCell ref="B9:B11"/>
    <mergeCell ref="B12:B14"/>
    <mergeCell ref="B15:B16"/>
    <mergeCell ref="B17:B18"/>
    <mergeCell ref="B19:B20"/>
    <mergeCell ref="B24:B25"/>
    <mergeCell ref="B26:B27"/>
    <mergeCell ref="B28:B29"/>
    <mergeCell ref="B30:B31"/>
    <mergeCell ref="B32:B33"/>
    <mergeCell ref="B36:B37"/>
    <mergeCell ref="B38:B39"/>
    <mergeCell ref="B40:B41"/>
    <mergeCell ref="B59:B60"/>
    <mergeCell ref="B61:B62"/>
    <mergeCell ref="B65:B66"/>
    <mergeCell ref="B42:B43"/>
    <mergeCell ref="B44:B45"/>
    <mergeCell ref="B46:B47"/>
    <mergeCell ref="B48:B50"/>
    <mergeCell ref="B51:B52"/>
    <mergeCell ref="B53:B56"/>
    <mergeCell ref="B57:B5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0</v>
      </c>
      <c r="B2" s="4"/>
      <c r="C2" s="5"/>
    </row>
    <row r="3">
      <c r="A3" s="6"/>
      <c r="B3" s="7"/>
      <c r="C3" s="8"/>
    </row>
    <row r="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10" t="s">
        <v>6</v>
      </c>
      <c r="G5" s="9" t="s">
        <v>7</v>
      </c>
      <c r="H5" s="9" t="s">
        <v>8</v>
      </c>
      <c r="I5" s="11"/>
    </row>
    <row r="6">
      <c r="A6" s="12">
        <v>1.0</v>
      </c>
      <c r="B6" s="13">
        <v>45811.0</v>
      </c>
      <c r="C6" s="14" t="s">
        <v>30</v>
      </c>
      <c r="D6" s="16" t="s">
        <v>11</v>
      </c>
      <c r="E6" s="16" t="s">
        <v>16</v>
      </c>
      <c r="F6" s="24">
        <v>2.8843028E7</v>
      </c>
      <c r="G6" s="25">
        <v>145.0</v>
      </c>
      <c r="H6" s="18">
        <v>0.0</v>
      </c>
      <c r="I6" s="12"/>
    </row>
    <row r="7">
      <c r="A7" s="12">
        <v>2.0</v>
      </c>
      <c r="B7" s="20"/>
      <c r="C7" s="14" t="s">
        <v>34</v>
      </c>
      <c r="D7" s="16" t="s">
        <v>11</v>
      </c>
      <c r="E7" s="16" t="s">
        <v>22</v>
      </c>
      <c r="F7" s="24">
        <v>4083620.0</v>
      </c>
      <c r="G7" s="25">
        <v>249.0</v>
      </c>
      <c r="H7" s="18">
        <v>1000.0</v>
      </c>
      <c r="I7" s="12"/>
    </row>
    <row r="8">
      <c r="A8" s="12">
        <v>3.0</v>
      </c>
      <c r="B8" s="13">
        <v>45812.0</v>
      </c>
      <c r="C8" s="14" t="s">
        <v>30</v>
      </c>
      <c r="D8" s="16" t="s">
        <v>11</v>
      </c>
      <c r="E8" s="16" t="s">
        <v>16</v>
      </c>
      <c r="F8" s="24">
        <v>1.6390255E7</v>
      </c>
      <c r="G8" s="25">
        <v>118.0</v>
      </c>
      <c r="H8" s="18">
        <v>0.0</v>
      </c>
      <c r="I8" s="12"/>
    </row>
    <row r="9">
      <c r="A9" s="12">
        <v>4.0</v>
      </c>
      <c r="B9" s="20"/>
      <c r="C9" s="14" t="s">
        <v>34</v>
      </c>
      <c r="D9" s="16" t="s">
        <v>11</v>
      </c>
      <c r="E9" s="16" t="s">
        <v>22</v>
      </c>
      <c r="F9" s="24">
        <v>682700.0</v>
      </c>
      <c r="G9" s="25">
        <v>138.0</v>
      </c>
      <c r="H9" s="18">
        <v>490.0</v>
      </c>
      <c r="I9" s="12"/>
    </row>
    <row r="10">
      <c r="A10" s="12">
        <v>5.0</v>
      </c>
      <c r="B10" s="13">
        <v>45813.0</v>
      </c>
      <c r="C10" s="14" t="s">
        <v>30</v>
      </c>
      <c r="D10" s="16" t="s">
        <v>11</v>
      </c>
      <c r="E10" s="16" t="s">
        <v>16</v>
      </c>
      <c r="F10" s="24">
        <v>4164590.0</v>
      </c>
      <c r="G10" s="25">
        <v>116.0</v>
      </c>
      <c r="H10" s="18">
        <v>87.0</v>
      </c>
      <c r="I10" s="12"/>
    </row>
    <row r="11">
      <c r="A11" s="12">
        <v>6.0</v>
      </c>
      <c r="B11" s="20"/>
      <c r="C11" s="14" t="s">
        <v>34</v>
      </c>
      <c r="D11" s="16" t="s">
        <v>11</v>
      </c>
      <c r="E11" s="16" t="s">
        <v>16</v>
      </c>
      <c r="F11" s="24">
        <v>2433827.0</v>
      </c>
      <c r="G11" s="25">
        <v>235.0</v>
      </c>
      <c r="H11" s="18">
        <v>31.0</v>
      </c>
      <c r="I11" s="12"/>
    </row>
    <row r="12">
      <c r="A12" s="12">
        <v>7.0</v>
      </c>
      <c r="B12" s="13">
        <v>45814.0</v>
      </c>
      <c r="C12" s="14" t="s">
        <v>38</v>
      </c>
      <c r="D12" s="15" t="s">
        <v>11</v>
      </c>
      <c r="E12" s="16" t="s">
        <v>16</v>
      </c>
      <c r="F12" s="17">
        <v>3692166.0</v>
      </c>
      <c r="G12" s="18">
        <v>273.0</v>
      </c>
      <c r="H12" s="18">
        <v>202.0</v>
      </c>
      <c r="I12" s="12"/>
    </row>
    <row r="13">
      <c r="A13" s="12">
        <v>8.0</v>
      </c>
      <c r="B13" s="21"/>
      <c r="C13" s="14" t="s">
        <v>39</v>
      </c>
      <c r="D13" s="15" t="s">
        <v>11</v>
      </c>
      <c r="E13" s="16" t="s">
        <v>16</v>
      </c>
      <c r="F13" s="17">
        <v>1860769.0</v>
      </c>
      <c r="G13" s="18">
        <v>249.0</v>
      </c>
      <c r="H13" s="18">
        <v>185.0</v>
      </c>
      <c r="I13" s="12"/>
    </row>
    <row r="14">
      <c r="A14" s="12">
        <v>9.0</v>
      </c>
      <c r="B14" s="20"/>
      <c r="C14" s="14" t="s">
        <v>40</v>
      </c>
      <c r="D14" s="15" t="s">
        <v>11</v>
      </c>
      <c r="E14" s="16" t="s">
        <v>22</v>
      </c>
      <c r="F14" s="17">
        <v>2773804.0</v>
      </c>
      <c r="G14" s="18">
        <v>250.0</v>
      </c>
      <c r="H14" s="18">
        <v>11.0</v>
      </c>
      <c r="I14" s="12"/>
    </row>
    <row r="15">
      <c r="A15" s="12">
        <v>10.0</v>
      </c>
      <c r="B15" s="13">
        <v>45815.0</v>
      </c>
      <c r="C15" s="14" t="s">
        <v>38</v>
      </c>
      <c r="D15" s="15" t="s">
        <v>11</v>
      </c>
      <c r="E15" s="16" t="s">
        <v>16</v>
      </c>
      <c r="F15" s="17">
        <v>1060994.0</v>
      </c>
      <c r="G15" s="18">
        <v>222.0</v>
      </c>
      <c r="H15" s="18">
        <v>18.0</v>
      </c>
      <c r="I15" s="12"/>
    </row>
    <row r="16">
      <c r="A16" s="12">
        <v>11.0</v>
      </c>
      <c r="B16" s="21"/>
      <c r="C16" s="14" t="s">
        <v>39</v>
      </c>
      <c r="D16" s="15" t="s">
        <v>11</v>
      </c>
      <c r="E16" s="16" t="s">
        <v>22</v>
      </c>
      <c r="F16" s="17">
        <v>0.0</v>
      </c>
      <c r="G16" s="18">
        <v>169.0</v>
      </c>
      <c r="H16" s="18">
        <v>107.0</v>
      </c>
      <c r="I16" s="12"/>
    </row>
    <row r="17">
      <c r="A17" s="12">
        <v>12.0</v>
      </c>
      <c r="B17" s="20"/>
      <c r="C17" s="14" t="s">
        <v>40</v>
      </c>
      <c r="D17" s="15" t="s">
        <v>11</v>
      </c>
      <c r="E17" s="16" t="s">
        <v>16</v>
      </c>
      <c r="F17" s="17">
        <v>886194.0</v>
      </c>
      <c r="G17" s="18">
        <v>313.0</v>
      </c>
      <c r="H17" s="18">
        <v>138.0</v>
      </c>
      <c r="I17" s="12"/>
    </row>
    <row r="18">
      <c r="A18" s="12">
        <v>13.0</v>
      </c>
      <c r="B18" s="13">
        <v>45816.0</v>
      </c>
      <c r="C18" s="14" t="s">
        <v>30</v>
      </c>
      <c r="D18" s="16" t="s">
        <v>11</v>
      </c>
      <c r="E18" s="16" t="s">
        <v>16</v>
      </c>
      <c r="F18" s="17">
        <v>3274796.0</v>
      </c>
      <c r="G18" s="18">
        <v>266.0</v>
      </c>
      <c r="H18" s="18">
        <v>471.0</v>
      </c>
      <c r="I18" s="12"/>
    </row>
    <row r="19">
      <c r="A19" s="12">
        <v>14.0</v>
      </c>
      <c r="B19" s="20"/>
      <c r="C19" s="14" t="s">
        <v>34</v>
      </c>
      <c r="D19" s="16" t="s">
        <v>11</v>
      </c>
      <c r="E19" s="16" t="s">
        <v>22</v>
      </c>
      <c r="F19" s="17">
        <v>5030772.0</v>
      </c>
      <c r="G19" s="18">
        <v>300.0</v>
      </c>
      <c r="H19" s="60">
        <v>200.0</v>
      </c>
      <c r="I19" s="12"/>
    </row>
    <row r="20">
      <c r="A20" s="12">
        <v>15.0</v>
      </c>
      <c r="B20" s="13">
        <v>45817.0</v>
      </c>
      <c r="C20" s="14" t="s">
        <v>30</v>
      </c>
      <c r="D20" s="16" t="s">
        <v>11</v>
      </c>
      <c r="E20" s="16" t="s">
        <v>16</v>
      </c>
      <c r="F20" s="17">
        <v>3876940.0</v>
      </c>
      <c r="G20" s="18">
        <v>187.0</v>
      </c>
      <c r="H20" s="18">
        <v>3.0</v>
      </c>
      <c r="I20" s="12"/>
    </row>
    <row r="21">
      <c r="A21" s="12">
        <v>16.0</v>
      </c>
      <c r="B21" s="20"/>
      <c r="C21" s="14" t="s">
        <v>34</v>
      </c>
      <c r="D21" s="16" t="s">
        <v>11</v>
      </c>
      <c r="E21" s="16" t="s">
        <v>22</v>
      </c>
      <c r="F21" s="24">
        <v>3.2793483E7</v>
      </c>
      <c r="G21" s="25">
        <v>323.0</v>
      </c>
      <c r="H21" s="25">
        <v>555.0</v>
      </c>
      <c r="I21" s="12"/>
    </row>
    <row r="22">
      <c r="A22" s="14">
        <v>17.0</v>
      </c>
      <c r="B22" s="13">
        <v>45818.0</v>
      </c>
      <c r="C22" s="14" t="s">
        <v>30</v>
      </c>
      <c r="D22" s="16" t="s">
        <v>11</v>
      </c>
      <c r="E22" s="16" t="s">
        <v>16</v>
      </c>
      <c r="F22" s="24">
        <v>1563778.0</v>
      </c>
      <c r="G22" s="25">
        <v>165.0</v>
      </c>
      <c r="H22" s="25">
        <v>42.0</v>
      </c>
      <c r="I22" s="12"/>
    </row>
    <row r="23">
      <c r="A23" s="14">
        <v>18.0</v>
      </c>
      <c r="B23" s="20"/>
      <c r="C23" s="14" t="s">
        <v>34</v>
      </c>
      <c r="D23" s="16" t="s">
        <v>11</v>
      </c>
      <c r="E23" s="16" t="s">
        <v>22</v>
      </c>
      <c r="F23" s="24">
        <v>2991488.0</v>
      </c>
      <c r="G23" s="25">
        <v>203.0</v>
      </c>
      <c r="H23" s="25">
        <v>42.0</v>
      </c>
      <c r="I23" s="12"/>
    </row>
    <row r="24">
      <c r="A24" s="14">
        <v>19.0</v>
      </c>
      <c r="B24" s="13">
        <v>45819.0</v>
      </c>
      <c r="C24" s="14" t="s">
        <v>30</v>
      </c>
      <c r="D24" s="15" t="s">
        <v>11</v>
      </c>
      <c r="E24" s="16" t="s">
        <v>16</v>
      </c>
      <c r="F24" s="24">
        <v>3126370.0</v>
      </c>
      <c r="G24" s="25">
        <v>189.0</v>
      </c>
      <c r="H24" s="25">
        <v>3.0</v>
      </c>
      <c r="I24" s="27"/>
    </row>
    <row r="25">
      <c r="A25" s="14">
        <v>20.0</v>
      </c>
      <c r="B25" s="21"/>
      <c r="C25" s="14" t="s">
        <v>13</v>
      </c>
      <c r="D25" s="15" t="s">
        <v>11</v>
      </c>
      <c r="E25" s="16" t="s">
        <v>22</v>
      </c>
      <c r="F25" s="24">
        <v>527320.0</v>
      </c>
      <c r="G25" s="25">
        <v>179.0</v>
      </c>
      <c r="H25" s="25">
        <v>0.0</v>
      </c>
      <c r="I25" s="27"/>
    </row>
    <row r="26">
      <c r="A26" s="14">
        <v>21.0</v>
      </c>
      <c r="B26" s="13">
        <v>45820.0</v>
      </c>
      <c r="C26" s="14" t="s">
        <v>30</v>
      </c>
      <c r="D26" s="15" t="s">
        <v>11</v>
      </c>
      <c r="E26" s="16" t="s">
        <v>16</v>
      </c>
      <c r="F26" s="24">
        <v>2577004.0</v>
      </c>
      <c r="G26" s="25">
        <v>159.0</v>
      </c>
      <c r="H26" s="25">
        <v>1.0</v>
      </c>
      <c r="I26" s="27"/>
    </row>
    <row r="27">
      <c r="A27" s="14">
        <v>22.0</v>
      </c>
      <c r="B27" s="21"/>
      <c r="C27" s="14" t="s">
        <v>13</v>
      </c>
      <c r="D27" s="15" t="s">
        <v>11</v>
      </c>
      <c r="E27" s="16" t="s">
        <v>16</v>
      </c>
      <c r="F27" s="24">
        <v>4288486.0</v>
      </c>
      <c r="G27" s="25">
        <v>555.0</v>
      </c>
      <c r="H27" s="25">
        <v>4.0</v>
      </c>
      <c r="I27" s="27"/>
    </row>
    <row r="28">
      <c r="A28" s="14">
        <v>23.0</v>
      </c>
      <c r="B28" s="13">
        <v>45821.0</v>
      </c>
      <c r="C28" s="14" t="s">
        <v>30</v>
      </c>
      <c r="D28" s="15" t="s">
        <v>11</v>
      </c>
      <c r="E28" s="16" t="s">
        <v>16</v>
      </c>
      <c r="F28" s="24">
        <v>519320.0</v>
      </c>
      <c r="G28" s="25">
        <v>113.0</v>
      </c>
      <c r="H28" s="25">
        <v>2.0</v>
      </c>
      <c r="I28" s="27"/>
    </row>
    <row r="29">
      <c r="A29" s="14">
        <v>24.0</v>
      </c>
      <c r="B29" s="21"/>
      <c r="C29" s="14" t="s">
        <v>34</v>
      </c>
      <c r="D29" s="15" t="s">
        <v>11</v>
      </c>
      <c r="E29" s="16" t="s">
        <v>22</v>
      </c>
      <c r="F29" s="24">
        <v>519220.0</v>
      </c>
      <c r="G29" s="25">
        <v>217.0</v>
      </c>
      <c r="H29" s="25">
        <v>0.0</v>
      </c>
      <c r="I29" s="27"/>
    </row>
    <row r="30">
      <c r="A30" s="14">
        <v>25.0</v>
      </c>
      <c r="B30" s="13">
        <v>45822.0</v>
      </c>
      <c r="C30" s="14" t="s">
        <v>30</v>
      </c>
      <c r="D30" s="15" t="s">
        <v>11</v>
      </c>
      <c r="E30" s="16" t="s">
        <v>16</v>
      </c>
      <c r="F30" s="24">
        <v>1659742.0</v>
      </c>
      <c r="G30" s="25">
        <v>184.0</v>
      </c>
      <c r="H30" s="25">
        <v>136.0</v>
      </c>
      <c r="I30" s="27"/>
    </row>
    <row r="31">
      <c r="A31" s="14">
        <v>26.0</v>
      </c>
      <c r="B31" s="21"/>
      <c r="C31" s="14" t="s">
        <v>34</v>
      </c>
      <c r="D31" s="15" t="s">
        <v>11</v>
      </c>
      <c r="E31" s="16" t="s">
        <v>22</v>
      </c>
      <c r="F31" s="24">
        <v>2919132.0</v>
      </c>
      <c r="G31" s="25">
        <v>246.0</v>
      </c>
      <c r="H31" s="25">
        <v>5.0</v>
      </c>
      <c r="I31" s="27"/>
    </row>
    <row r="32">
      <c r="A32" s="14">
        <v>27.0</v>
      </c>
      <c r="B32" s="13">
        <v>45823.0</v>
      </c>
      <c r="C32" s="14" t="s">
        <v>34</v>
      </c>
      <c r="D32" s="15" t="s">
        <v>11</v>
      </c>
      <c r="E32" s="16" t="s">
        <v>22</v>
      </c>
      <c r="F32" s="24">
        <v>2263632.0</v>
      </c>
      <c r="G32" s="25">
        <v>348.0</v>
      </c>
      <c r="H32" s="25">
        <v>1.0</v>
      </c>
      <c r="I32" s="27"/>
    </row>
    <row r="33">
      <c r="A33" s="14">
        <v>28.0</v>
      </c>
      <c r="B33" s="13">
        <v>45824.0</v>
      </c>
      <c r="C33" s="14" t="s">
        <v>30</v>
      </c>
      <c r="D33" s="15" t="s">
        <v>11</v>
      </c>
      <c r="E33" s="16" t="s">
        <v>16</v>
      </c>
      <c r="F33" s="24">
        <v>6463240.0</v>
      </c>
      <c r="G33" s="25">
        <v>114.0</v>
      </c>
      <c r="H33" s="25">
        <v>10.0</v>
      </c>
      <c r="I33" s="27"/>
    </row>
    <row r="34">
      <c r="A34" s="14">
        <v>29.0</v>
      </c>
      <c r="B34" s="21"/>
      <c r="C34" s="14" t="s">
        <v>34</v>
      </c>
      <c r="D34" s="15" t="s">
        <v>11</v>
      </c>
      <c r="E34" s="16" t="s">
        <v>22</v>
      </c>
      <c r="F34" s="24">
        <v>1039830.0</v>
      </c>
      <c r="G34" s="25">
        <v>214.0</v>
      </c>
      <c r="H34" s="25">
        <v>0.0</v>
      </c>
      <c r="I34" s="27"/>
    </row>
    <row r="35">
      <c r="A35" s="14">
        <v>30.0</v>
      </c>
      <c r="B35" s="13">
        <v>45825.0</v>
      </c>
      <c r="C35" s="14" t="s">
        <v>30</v>
      </c>
      <c r="D35" s="15" t="s">
        <v>11</v>
      </c>
      <c r="E35" s="16" t="s">
        <v>16</v>
      </c>
      <c r="F35" s="24">
        <v>3.6766211E7</v>
      </c>
      <c r="G35" s="25">
        <v>260.0</v>
      </c>
      <c r="H35" s="25">
        <v>4.0</v>
      </c>
      <c r="I35" s="27"/>
    </row>
    <row r="36">
      <c r="A36" s="14">
        <v>31.0</v>
      </c>
      <c r="B36" s="21"/>
      <c r="C36" s="14" t="s">
        <v>34</v>
      </c>
      <c r="D36" s="15" t="s">
        <v>11</v>
      </c>
      <c r="E36" s="16" t="s">
        <v>22</v>
      </c>
      <c r="F36" s="24">
        <v>2200535.0</v>
      </c>
      <c r="G36" s="25">
        <v>253.0</v>
      </c>
      <c r="H36" s="25">
        <v>1.0</v>
      </c>
      <c r="I36" s="27"/>
    </row>
    <row r="37">
      <c r="A37" s="14">
        <v>32.0</v>
      </c>
      <c r="B37" s="13">
        <v>45826.0</v>
      </c>
      <c r="C37" s="14" t="s">
        <v>30</v>
      </c>
      <c r="D37" s="15" t="s">
        <v>11</v>
      </c>
      <c r="E37" s="16" t="s">
        <v>16</v>
      </c>
      <c r="F37" s="24">
        <v>1574448.0</v>
      </c>
      <c r="G37" s="25">
        <v>134.0</v>
      </c>
      <c r="H37" s="25">
        <v>33.0</v>
      </c>
      <c r="I37" s="27"/>
    </row>
    <row r="38">
      <c r="A38" s="14">
        <v>33.0</v>
      </c>
      <c r="B38" s="21"/>
      <c r="C38" s="14" t="s">
        <v>34</v>
      </c>
      <c r="D38" s="15" t="s">
        <v>11</v>
      </c>
      <c r="E38" s="16" t="s">
        <v>22</v>
      </c>
      <c r="F38" s="24">
        <v>515624.0</v>
      </c>
      <c r="G38" s="25">
        <v>302.0</v>
      </c>
      <c r="H38" s="25">
        <v>5.0</v>
      </c>
      <c r="I38" s="27"/>
    </row>
    <row r="39">
      <c r="A39" s="14">
        <v>34.0</v>
      </c>
      <c r="B39" s="13">
        <v>45827.0</v>
      </c>
      <c r="C39" s="14" t="s">
        <v>30</v>
      </c>
      <c r="D39" s="15" t="s">
        <v>11</v>
      </c>
      <c r="E39" s="16" t="s">
        <v>16</v>
      </c>
      <c r="F39" s="24">
        <v>519320.0</v>
      </c>
      <c r="G39" s="25">
        <v>159.0</v>
      </c>
      <c r="H39" s="25">
        <v>56.0</v>
      </c>
      <c r="I39" s="27"/>
    </row>
    <row r="40">
      <c r="A40" s="14">
        <v>35.0</v>
      </c>
      <c r="B40" s="21"/>
      <c r="C40" s="14" t="s">
        <v>34</v>
      </c>
      <c r="D40" s="15" t="s">
        <v>11</v>
      </c>
      <c r="E40" s="16" t="s">
        <v>22</v>
      </c>
      <c r="F40" s="24">
        <v>0.0</v>
      </c>
      <c r="G40" s="25">
        <v>252.0</v>
      </c>
      <c r="H40" s="25">
        <v>100.0</v>
      </c>
      <c r="I40" s="27"/>
    </row>
    <row r="41">
      <c r="A41" s="14">
        <v>36.0</v>
      </c>
      <c r="B41" s="13">
        <v>45828.0</v>
      </c>
      <c r="C41" s="14" t="s">
        <v>30</v>
      </c>
      <c r="D41" s="15" t="s">
        <v>11</v>
      </c>
      <c r="E41" s="16" t="s">
        <v>16</v>
      </c>
      <c r="F41" s="24">
        <v>1517767.0</v>
      </c>
      <c r="G41" s="25">
        <v>150.0</v>
      </c>
      <c r="H41" s="25">
        <v>10.0</v>
      </c>
      <c r="I41" s="27"/>
    </row>
    <row r="42">
      <c r="A42" s="14">
        <v>37.0</v>
      </c>
      <c r="B42" s="21"/>
      <c r="C42" s="14" t="s">
        <v>34</v>
      </c>
      <c r="D42" s="15" t="s">
        <v>11</v>
      </c>
      <c r="E42" s="16" t="s">
        <v>22</v>
      </c>
      <c r="F42" s="24">
        <v>910085.0</v>
      </c>
      <c r="G42" s="25">
        <v>253.0</v>
      </c>
      <c r="H42" s="25">
        <v>0.0</v>
      </c>
      <c r="I42" s="27"/>
    </row>
    <row r="43">
      <c r="A43" s="14">
        <v>38.0</v>
      </c>
      <c r="B43" s="13">
        <v>45829.0</v>
      </c>
      <c r="C43" s="14" t="s">
        <v>34</v>
      </c>
      <c r="D43" s="15" t="s">
        <v>11</v>
      </c>
      <c r="E43" s="16" t="s">
        <v>22</v>
      </c>
      <c r="F43" s="24">
        <v>0.0</v>
      </c>
      <c r="G43" s="25">
        <v>249.0</v>
      </c>
      <c r="H43" s="25">
        <v>3.0</v>
      </c>
      <c r="I43" s="27"/>
    </row>
    <row r="44">
      <c r="A44" s="14">
        <v>39.0</v>
      </c>
      <c r="B44" s="13">
        <v>45830.0</v>
      </c>
      <c r="C44" s="14" t="s">
        <v>34</v>
      </c>
      <c r="D44" s="15" t="s">
        <v>11</v>
      </c>
      <c r="E44" s="16" t="s">
        <v>22</v>
      </c>
      <c r="F44" s="24">
        <v>519820.0</v>
      </c>
      <c r="G44" s="25">
        <v>236.0</v>
      </c>
      <c r="H44" s="25">
        <v>75.0</v>
      </c>
      <c r="I44" s="27"/>
    </row>
    <row r="45">
      <c r="A45" s="14">
        <v>40.0</v>
      </c>
      <c r="B45" s="13">
        <v>45831.0</v>
      </c>
      <c r="C45" s="14" t="s">
        <v>10</v>
      </c>
      <c r="D45" s="15" t="s">
        <v>11</v>
      </c>
      <c r="E45" s="16" t="s">
        <v>16</v>
      </c>
      <c r="F45" s="24">
        <v>320938.0</v>
      </c>
      <c r="G45" s="25">
        <v>162.0</v>
      </c>
      <c r="H45" s="25">
        <v>102.0</v>
      </c>
      <c r="I45" s="27"/>
    </row>
    <row r="46">
      <c r="A46" s="14">
        <v>41.0</v>
      </c>
      <c r="B46" s="21"/>
      <c r="C46" s="14" t="s">
        <v>34</v>
      </c>
      <c r="D46" s="15" t="s">
        <v>11</v>
      </c>
      <c r="E46" s="16" t="s">
        <v>22</v>
      </c>
      <c r="F46" s="24">
        <v>301997.0</v>
      </c>
      <c r="G46" s="25">
        <v>156.0</v>
      </c>
      <c r="H46" s="25">
        <v>285.0</v>
      </c>
      <c r="I46" s="27"/>
    </row>
    <row r="47">
      <c r="A47" s="14">
        <v>42.0</v>
      </c>
      <c r="B47" s="13">
        <v>45832.0</v>
      </c>
      <c r="C47" s="14" t="s">
        <v>38</v>
      </c>
      <c r="D47" s="15" t="s">
        <v>11</v>
      </c>
      <c r="E47" s="16" t="s">
        <v>16</v>
      </c>
      <c r="F47" s="24">
        <v>1119936.0</v>
      </c>
      <c r="G47" s="25">
        <v>137.0</v>
      </c>
      <c r="H47" s="25">
        <v>158.0</v>
      </c>
      <c r="I47" s="27"/>
    </row>
    <row r="48">
      <c r="A48" s="14">
        <v>43.0</v>
      </c>
      <c r="B48" s="21"/>
      <c r="C48" s="14" t="s">
        <v>40</v>
      </c>
      <c r="D48" s="15" t="s">
        <v>11</v>
      </c>
      <c r="E48" s="16" t="s">
        <v>22</v>
      </c>
      <c r="F48" s="24">
        <v>0.0</v>
      </c>
      <c r="G48" s="25">
        <v>151.0</v>
      </c>
      <c r="H48" s="62">
        <v>200.0</v>
      </c>
      <c r="I48" s="27"/>
    </row>
    <row r="49">
      <c r="A49" s="14">
        <v>44.0</v>
      </c>
      <c r="B49" s="13">
        <v>45833.0</v>
      </c>
      <c r="C49" s="14" t="s">
        <v>38</v>
      </c>
      <c r="D49" s="15" t="s">
        <v>11</v>
      </c>
      <c r="E49" s="16" t="s">
        <v>16</v>
      </c>
      <c r="F49" s="24">
        <v>1298583.0</v>
      </c>
      <c r="G49" s="25">
        <v>138.0</v>
      </c>
      <c r="H49" s="25">
        <v>8.0</v>
      </c>
      <c r="I49" s="27"/>
    </row>
    <row r="50">
      <c r="A50" s="14">
        <v>45.0</v>
      </c>
      <c r="B50" s="21"/>
      <c r="C50" s="14" t="s">
        <v>39</v>
      </c>
      <c r="D50" s="15" t="s">
        <v>11</v>
      </c>
      <c r="E50" s="16" t="s">
        <v>41</v>
      </c>
      <c r="F50" s="24">
        <v>249796.0</v>
      </c>
      <c r="G50" s="25">
        <v>159.0</v>
      </c>
      <c r="H50" s="25">
        <v>0.0</v>
      </c>
      <c r="I50" s="27"/>
    </row>
    <row r="51">
      <c r="A51" s="14">
        <v>46.0</v>
      </c>
      <c r="B51" s="20"/>
      <c r="C51" s="14" t="s">
        <v>40</v>
      </c>
      <c r="D51" s="15" t="s">
        <v>11</v>
      </c>
      <c r="E51" s="16" t="s">
        <v>22</v>
      </c>
      <c r="F51" s="24">
        <v>1147192.0</v>
      </c>
      <c r="G51" s="25">
        <v>160.0</v>
      </c>
      <c r="H51" s="25">
        <v>58.0</v>
      </c>
      <c r="I51" s="27"/>
    </row>
    <row r="52">
      <c r="A52" s="14">
        <v>47.0</v>
      </c>
      <c r="B52" s="13">
        <v>45834.0</v>
      </c>
      <c r="C52" s="14" t="s">
        <v>38</v>
      </c>
      <c r="D52" s="15" t="s">
        <v>11</v>
      </c>
      <c r="E52" s="16" t="s">
        <v>16</v>
      </c>
      <c r="F52" s="24">
        <v>613428.0</v>
      </c>
      <c r="G52" s="25">
        <v>113.0</v>
      </c>
      <c r="H52" s="25">
        <v>2.0</v>
      </c>
      <c r="I52" s="27"/>
    </row>
    <row r="53">
      <c r="A53" s="14">
        <v>48.0</v>
      </c>
      <c r="B53" s="21"/>
      <c r="C53" s="14" t="s">
        <v>39</v>
      </c>
      <c r="D53" s="15" t="s">
        <v>11</v>
      </c>
      <c r="E53" s="16" t="s">
        <v>42</v>
      </c>
      <c r="F53" s="24">
        <v>1570895.0</v>
      </c>
      <c r="G53" s="25">
        <v>178.0</v>
      </c>
      <c r="H53" s="25">
        <v>0.0</v>
      </c>
      <c r="I53" s="27"/>
    </row>
    <row r="54">
      <c r="A54" s="14">
        <v>49.0</v>
      </c>
      <c r="B54" s="20"/>
      <c r="C54" s="14" t="s">
        <v>40</v>
      </c>
      <c r="D54" s="15" t="s">
        <v>11</v>
      </c>
      <c r="E54" s="16" t="s">
        <v>22</v>
      </c>
      <c r="F54" s="24">
        <v>0.0</v>
      </c>
      <c r="G54" s="25">
        <v>217.0</v>
      </c>
      <c r="H54" s="25">
        <v>0.0</v>
      </c>
      <c r="I54" s="27"/>
    </row>
    <row r="55">
      <c r="A55" s="14">
        <v>50.0</v>
      </c>
      <c r="B55" s="13">
        <v>45835.0</v>
      </c>
      <c r="C55" s="14" t="s">
        <v>38</v>
      </c>
      <c r="D55" s="15" t="s">
        <v>11</v>
      </c>
      <c r="E55" s="16" t="s">
        <v>16</v>
      </c>
      <c r="F55" s="24">
        <v>294847.0</v>
      </c>
      <c r="G55" s="25">
        <v>238.0</v>
      </c>
      <c r="H55" s="25">
        <v>14.0</v>
      </c>
      <c r="I55" s="27"/>
    </row>
    <row r="56">
      <c r="A56" s="14">
        <v>51.0</v>
      </c>
      <c r="B56" s="21"/>
      <c r="C56" s="14" t="s">
        <v>39</v>
      </c>
      <c r="D56" s="15" t="s">
        <v>11</v>
      </c>
      <c r="E56" s="16" t="s">
        <v>22</v>
      </c>
      <c r="F56" s="24">
        <v>1559015.0</v>
      </c>
      <c r="G56" s="25">
        <v>132.0</v>
      </c>
      <c r="H56" s="25">
        <v>22.0</v>
      </c>
      <c r="I56" s="27"/>
    </row>
    <row r="57">
      <c r="A57" s="14">
        <v>52.0</v>
      </c>
      <c r="B57" s="20"/>
      <c r="C57" s="14" t="s">
        <v>40</v>
      </c>
      <c r="D57" s="15" t="s">
        <v>11</v>
      </c>
      <c r="E57" s="16" t="s">
        <v>41</v>
      </c>
      <c r="F57" s="24">
        <v>289347.0</v>
      </c>
      <c r="G57" s="25">
        <v>222.0</v>
      </c>
      <c r="H57" s="25">
        <v>11.0</v>
      </c>
      <c r="I57" s="27"/>
    </row>
    <row r="58">
      <c r="A58" s="14">
        <v>53.0</v>
      </c>
      <c r="B58" s="13">
        <v>45836.0</v>
      </c>
      <c r="C58" s="14" t="s">
        <v>38</v>
      </c>
      <c r="D58" s="15" t="s">
        <v>11</v>
      </c>
      <c r="E58" s="16" t="s">
        <v>16</v>
      </c>
      <c r="F58" s="24">
        <v>0.0</v>
      </c>
      <c r="G58" s="25">
        <v>120.0</v>
      </c>
      <c r="H58" s="25">
        <v>30.0</v>
      </c>
      <c r="I58" s="27"/>
    </row>
    <row r="59">
      <c r="A59" s="14">
        <v>54.0</v>
      </c>
      <c r="B59" s="21"/>
      <c r="C59" s="14" t="s">
        <v>34</v>
      </c>
      <c r="D59" s="15" t="s">
        <v>11</v>
      </c>
      <c r="E59" s="16" t="s">
        <v>22</v>
      </c>
      <c r="F59" s="24">
        <v>4738442.0</v>
      </c>
      <c r="G59" s="25">
        <v>248.0</v>
      </c>
      <c r="H59" s="25">
        <v>19.0</v>
      </c>
      <c r="I59" s="27"/>
    </row>
    <row r="60">
      <c r="A60" s="14">
        <v>55.0</v>
      </c>
      <c r="B60" s="13">
        <v>45837.0</v>
      </c>
      <c r="C60" s="14" t="s">
        <v>40</v>
      </c>
      <c r="D60" s="15" t="s">
        <v>11</v>
      </c>
      <c r="E60" s="16" t="s">
        <v>22</v>
      </c>
      <c r="F60" s="24">
        <v>1710710.0</v>
      </c>
      <c r="G60" s="25">
        <v>320.0</v>
      </c>
      <c r="H60" s="25">
        <v>16.0</v>
      </c>
      <c r="I60" s="27"/>
    </row>
    <row r="61">
      <c r="A61" s="14">
        <v>56.0</v>
      </c>
      <c r="B61" s="13">
        <v>45838.0</v>
      </c>
      <c r="C61" s="14" t="s">
        <v>30</v>
      </c>
      <c r="D61" s="15" t="s">
        <v>11</v>
      </c>
      <c r="E61" s="16" t="s">
        <v>16</v>
      </c>
      <c r="F61" s="24">
        <v>2098566.0</v>
      </c>
      <c r="G61" s="25">
        <v>148.0</v>
      </c>
      <c r="H61" s="25">
        <v>5.0</v>
      </c>
      <c r="I61" s="27"/>
    </row>
    <row r="62">
      <c r="A62" s="14">
        <v>57.0</v>
      </c>
      <c r="B62" s="21"/>
      <c r="C62" s="14" t="s">
        <v>34</v>
      </c>
      <c r="D62" s="16" t="s">
        <v>11</v>
      </c>
      <c r="E62" s="16" t="s">
        <v>22</v>
      </c>
      <c r="F62" s="24">
        <v>1998999.0</v>
      </c>
      <c r="G62" s="25">
        <v>315.0</v>
      </c>
      <c r="H62" s="25">
        <v>1.0</v>
      </c>
      <c r="I62" s="27"/>
    </row>
    <row r="63">
      <c r="A63" s="14">
        <v>58.0</v>
      </c>
      <c r="B63" s="13">
        <v>45839.0</v>
      </c>
      <c r="C63" s="14" t="s">
        <v>30</v>
      </c>
      <c r="D63" s="16" t="s">
        <v>11</v>
      </c>
      <c r="E63" s="16" t="s">
        <v>16</v>
      </c>
      <c r="F63" s="24">
        <v>341669.0</v>
      </c>
      <c r="G63" s="25">
        <v>140.0</v>
      </c>
      <c r="H63" s="25">
        <v>2.0</v>
      </c>
      <c r="I63" s="27"/>
    </row>
    <row r="64">
      <c r="A64" s="14">
        <v>59.0</v>
      </c>
      <c r="B64" s="21"/>
      <c r="C64" s="14" t="s">
        <v>34</v>
      </c>
      <c r="D64" s="16" t="s">
        <v>11</v>
      </c>
      <c r="E64" s="16" t="s">
        <v>16</v>
      </c>
      <c r="F64" s="24">
        <v>1245132.0</v>
      </c>
      <c r="G64" s="25">
        <v>243.0</v>
      </c>
      <c r="H64" s="25">
        <v>4.0</v>
      </c>
      <c r="I64" s="27"/>
    </row>
    <row r="65">
      <c r="A65" s="14">
        <v>60.0</v>
      </c>
      <c r="B65" s="13">
        <v>45840.0</v>
      </c>
      <c r="C65" s="14" t="s">
        <v>30</v>
      </c>
      <c r="D65" s="16" t="s">
        <v>11</v>
      </c>
      <c r="E65" s="16" t="s">
        <v>16</v>
      </c>
      <c r="F65" s="64">
        <v>916364.0</v>
      </c>
      <c r="G65" s="25">
        <v>133.0</v>
      </c>
      <c r="H65" s="26"/>
      <c r="I65" s="27"/>
    </row>
    <row r="66">
      <c r="A66" s="14">
        <v>61.0</v>
      </c>
      <c r="B66" s="21"/>
      <c r="C66" s="14" t="s">
        <v>34</v>
      </c>
      <c r="D66" s="16" t="s">
        <v>11</v>
      </c>
      <c r="E66" s="16" t="s">
        <v>22</v>
      </c>
      <c r="F66" s="24">
        <v>1997740.0</v>
      </c>
      <c r="G66" s="25">
        <v>164.0</v>
      </c>
      <c r="H66" s="25">
        <v>100.0</v>
      </c>
      <c r="I66" s="27"/>
    </row>
    <row r="67">
      <c r="A67" s="14"/>
      <c r="B67" s="13"/>
      <c r="C67" s="14"/>
      <c r="D67" s="16"/>
      <c r="E67" s="16"/>
      <c r="F67" s="65">
        <f>SUM(F6:F66)</f>
        <v>210643906</v>
      </c>
      <c r="G67" s="26"/>
      <c r="H67" s="26"/>
      <c r="I67" s="27"/>
    </row>
    <row r="69">
      <c r="E69" s="57" t="s">
        <v>35</v>
      </c>
    </row>
    <row r="70">
      <c r="E70" s="66" t="s">
        <v>16</v>
      </c>
      <c r="F70" s="58" t="s">
        <v>43</v>
      </c>
    </row>
    <row r="71">
      <c r="E71" s="58" t="s">
        <v>22</v>
      </c>
      <c r="F71" s="58" t="s">
        <v>44</v>
      </c>
    </row>
    <row r="72">
      <c r="E72" s="57" t="s">
        <v>45</v>
      </c>
    </row>
    <row r="73">
      <c r="E73" s="58" t="s">
        <v>42</v>
      </c>
      <c r="F73" s="58" t="s">
        <v>46</v>
      </c>
    </row>
    <row r="74">
      <c r="E74" s="58" t="s">
        <v>41</v>
      </c>
      <c r="F74" s="58" t="s">
        <v>47</v>
      </c>
      <c r="G74" s="58" t="s">
        <v>48</v>
      </c>
    </row>
  </sheetData>
  <mergeCells count="27">
    <mergeCell ref="A2:C3"/>
    <mergeCell ref="B6:B7"/>
    <mergeCell ref="B8:B9"/>
    <mergeCell ref="B10:B11"/>
    <mergeCell ref="B12:B14"/>
    <mergeCell ref="B15:B17"/>
    <mergeCell ref="B18:B19"/>
    <mergeCell ref="B20:B21"/>
    <mergeCell ref="B22:B23"/>
    <mergeCell ref="B24:B25"/>
    <mergeCell ref="B26:B27"/>
    <mergeCell ref="B28:B29"/>
    <mergeCell ref="B30:B31"/>
    <mergeCell ref="B33:B34"/>
    <mergeCell ref="B52:B54"/>
    <mergeCell ref="B55:B57"/>
    <mergeCell ref="B58:B59"/>
    <mergeCell ref="B61:B62"/>
    <mergeCell ref="B63:B64"/>
    <mergeCell ref="B65:B66"/>
    <mergeCell ref="B35:B36"/>
    <mergeCell ref="B37:B38"/>
    <mergeCell ref="B39:B40"/>
    <mergeCell ref="B41:B42"/>
    <mergeCell ref="B45:B46"/>
    <mergeCell ref="B47:B48"/>
    <mergeCell ref="B49:B5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0</v>
      </c>
      <c r="B2" s="4"/>
      <c r="C2" s="5"/>
    </row>
    <row r="3">
      <c r="A3" s="6"/>
      <c r="B3" s="7"/>
      <c r="C3" s="8"/>
    </row>
    <row r="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10" t="s">
        <v>6</v>
      </c>
      <c r="G5" s="9" t="s">
        <v>7</v>
      </c>
      <c r="H5" s="9" t="s">
        <v>8</v>
      </c>
      <c r="I5" s="11"/>
    </row>
    <row r="6">
      <c r="A6" s="12">
        <f t="shared" ref="A6:A66" si="1">ROW(A1)</f>
        <v>1</v>
      </c>
      <c r="B6" s="13">
        <v>45841.0</v>
      </c>
      <c r="C6" s="14" t="s">
        <v>49</v>
      </c>
      <c r="D6" s="16" t="s">
        <v>11</v>
      </c>
      <c r="E6" s="16" t="s">
        <v>16</v>
      </c>
      <c r="F6" s="24">
        <v>0.0</v>
      </c>
      <c r="G6" s="25">
        <v>110.0</v>
      </c>
      <c r="H6" s="67"/>
      <c r="I6" s="12"/>
    </row>
    <row r="7">
      <c r="A7" s="12">
        <f t="shared" si="1"/>
        <v>2</v>
      </c>
      <c r="B7" s="20"/>
      <c r="C7" s="14" t="s">
        <v>40</v>
      </c>
      <c r="D7" s="16" t="s">
        <v>11</v>
      </c>
      <c r="E7" s="16" t="s">
        <v>22</v>
      </c>
      <c r="F7" s="24">
        <v>0.0</v>
      </c>
      <c r="G7" s="25">
        <v>249.0</v>
      </c>
      <c r="H7" s="18">
        <v>65.0</v>
      </c>
      <c r="I7" s="12"/>
    </row>
    <row r="8">
      <c r="A8" s="12">
        <f t="shared" si="1"/>
        <v>3</v>
      </c>
      <c r="B8" s="13">
        <v>45842.0</v>
      </c>
      <c r="C8" s="14" t="s">
        <v>30</v>
      </c>
      <c r="D8" s="16" t="s">
        <v>11</v>
      </c>
      <c r="E8" s="16" t="s">
        <v>16</v>
      </c>
      <c r="F8" s="24">
        <v>2646239.0</v>
      </c>
      <c r="G8" s="25">
        <v>114.0</v>
      </c>
      <c r="H8" s="67"/>
      <c r="I8" s="12"/>
    </row>
    <row r="9">
      <c r="A9" s="12">
        <f t="shared" si="1"/>
        <v>4</v>
      </c>
      <c r="B9" s="20"/>
      <c r="C9" s="14" t="s">
        <v>34</v>
      </c>
      <c r="D9" s="16" t="s">
        <v>11</v>
      </c>
      <c r="E9" s="16" t="s">
        <v>22</v>
      </c>
      <c r="F9" s="24">
        <v>838375.0</v>
      </c>
      <c r="G9" s="25">
        <v>135.0</v>
      </c>
      <c r="H9" s="18">
        <v>132.0</v>
      </c>
      <c r="I9" s="12"/>
    </row>
    <row r="10">
      <c r="A10" s="12">
        <f t="shared" si="1"/>
        <v>5</v>
      </c>
      <c r="B10" s="13">
        <v>45843.0</v>
      </c>
      <c r="C10" s="14" t="s">
        <v>34</v>
      </c>
      <c r="D10" s="16" t="s">
        <v>11</v>
      </c>
      <c r="E10" s="16" t="s">
        <v>22</v>
      </c>
      <c r="F10" s="24">
        <v>0.0</v>
      </c>
      <c r="G10" s="25">
        <v>245.0</v>
      </c>
      <c r="H10" s="18">
        <v>116.0</v>
      </c>
      <c r="I10" s="12"/>
    </row>
    <row r="11">
      <c r="A11" s="12">
        <f t="shared" si="1"/>
        <v>6</v>
      </c>
      <c r="B11" s="68">
        <v>45844.0</v>
      </c>
      <c r="C11" s="14" t="s">
        <v>34</v>
      </c>
      <c r="D11" s="16" t="s">
        <v>11</v>
      </c>
      <c r="E11" s="16" t="s">
        <v>22</v>
      </c>
      <c r="F11" s="24">
        <v>519220.0</v>
      </c>
      <c r="G11" s="25">
        <v>254.0</v>
      </c>
      <c r="H11" s="18">
        <v>20.0</v>
      </c>
      <c r="I11" s="12"/>
    </row>
    <row r="12">
      <c r="A12" s="12">
        <f t="shared" si="1"/>
        <v>7</v>
      </c>
      <c r="B12" s="13">
        <v>45845.0</v>
      </c>
      <c r="C12" s="14" t="s">
        <v>17</v>
      </c>
      <c r="D12" s="15" t="s">
        <v>11</v>
      </c>
      <c r="E12" s="16" t="s">
        <v>16</v>
      </c>
      <c r="F12" s="17">
        <v>1900440.0</v>
      </c>
      <c r="G12" s="18">
        <v>198.0</v>
      </c>
      <c r="H12" s="67"/>
      <c r="I12" s="12"/>
    </row>
    <row r="13">
      <c r="A13" s="12">
        <f t="shared" si="1"/>
        <v>8</v>
      </c>
      <c r="B13" s="21"/>
      <c r="C13" s="14" t="s">
        <v>50</v>
      </c>
      <c r="D13" s="15" t="s">
        <v>11</v>
      </c>
      <c r="E13" s="16" t="s">
        <v>22</v>
      </c>
      <c r="F13" s="17">
        <v>2426324.0</v>
      </c>
      <c r="G13" s="18">
        <v>172.0</v>
      </c>
      <c r="H13" s="67"/>
      <c r="I13" s="12"/>
    </row>
    <row r="14">
      <c r="A14" s="12">
        <f t="shared" si="1"/>
        <v>9</v>
      </c>
      <c r="B14" s="20"/>
      <c r="C14" s="14" t="s">
        <v>40</v>
      </c>
      <c r="D14" s="15" t="s">
        <v>11</v>
      </c>
      <c r="E14" s="16" t="s">
        <v>22</v>
      </c>
      <c r="F14" s="17">
        <v>101704.0</v>
      </c>
      <c r="G14" s="18">
        <v>257.0</v>
      </c>
      <c r="H14" s="18">
        <v>0.0</v>
      </c>
      <c r="I14" s="12"/>
    </row>
    <row r="15">
      <c r="A15" s="12">
        <f t="shared" si="1"/>
        <v>10</v>
      </c>
      <c r="B15" s="13">
        <v>45846.0</v>
      </c>
      <c r="C15" s="14" t="s">
        <v>17</v>
      </c>
      <c r="D15" s="15" t="s">
        <v>11</v>
      </c>
      <c r="E15" s="16" t="s">
        <v>22</v>
      </c>
      <c r="F15" s="17">
        <v>545870.0</v>
      </c>
      <c r="G15" s="18">
        <v>138.0</v>
      </c>
      <c r="H15" s="18">
        <v>224.0</v>
      </c>
      <c r="I15" s="12"/>
    </row>
    <row r="16">
      <c r="A16" s="12">
        <f t="shared" si="1"/>
        <v>11</v>
      </c>
      <c r="B16" s="21"/>
      <c r="C16" s="14" t="s">
        <v>50</v>
      </c>
      <c r="D16" s="15" t="s">
        <v>11</v>
      </c>
      <c r="E16" s="16" t="s">
        <v>22</v>
      </c>
      <c r="F16" s="17">
        <v>148174.0</v>
      </c>
      <c r="G16" s="18">
        <v>134.0</v>
      </c>
      <c r="H16" s="67"/>
      <c r="I16" s="12"/>
    </row>
    <row r="17">
      <c r="A17" s="12">
        <f t="shared" si="1"/>
        <v>12</v>
      </c>
      <c r="B17" s="20"/>
      <c r="C17" s="14" t="s">
        <v>40</v>
      </c>
      <c r="D17" s="15" t="s">
        <v>11</v>
      </c>
      <c r="E17" s="16" t="s">
        <v>22</v>
      </c>
      <c r="F17" s="17">
        <v>1083358.0</v>
      </c>
      <c r="G17" s="18">
        <v>178.0</v>
      </c>
      <c r="H17" s="18">
        <v>125.0</v>
      </c>
      <c r="I17" s="12"/>
    </row>
    <row r="18">
      <c r="A18" s="12">
        <f t="shared" si="1"/>
        <v>13</v>
      </c>
      <c r="B18" s="13">
        <v>45847.0</v>
      </c>
      <c r="C18" s="14" t="s">
        <v>30</v>
      </c>
      <c r="D18" s="16" t="s">
        <v>11</v>
      </c>
      <c r="E18" s="16" t="s">
        <v>16</v>
      </c>
      <c r="F18" s="17">
        <v>0.0</v>
      </c>
      <c r="G18" s="18">
        <v>175.0</v>
      </c>
      <c r="H18" s="67"/>
      <c r="I18" s="12"/>
    </row>
    <row r="19">
      <c r="A19" s="12">
        <f t="shared" si="1"/>
        <v>14</v>
      </c>
      <c r="B19" s="20"/>
      <c r="C19" s="14" t="s">
        <v>34</v>
      </c>
      <c r="D19" s="16" t="s">
        <v>11</v>
      </c>
      <c r="E19" s="16" t="s">
        <v>22</v>
      </c>
      <c r="F19" s="17">
        <v>487856.0</v>
      </c>
      <c r="G19" s="18">
        <v>190.0</v>
      </c>
      <c r="H19" s="60">
        <v>6.0</v>
      </c>
      <c r="I19" s="12"/>
    </row>
    <row r="20">
      <c r="A20" s="12">
        <f t="shared" si="1"/>
        <v>15</v>
      </c>
      <c r="B20" s="13">
        <v>45848.0</v>
      </c>
      <c r="C20" s="14" t="s">
        <v>30</v>
      </c>
      <c r="D20" s="16" t="s">
        <v>11</v>
      </c>
      <c r="E20" s="16" t="s">
        <v>16</v>
      </c>
      <c r="F20" s="17">
        <v>553638.0</v>
      </c>
      <c r="G20" s="18">
        <v>141.0</v>
      </c>
      <c r="H20" s="67"/>
      <c r="I20" s="12"/>
    </row>
    <row r="21">
      <c r="A21" s="12">
        <f t="shared" si="1"/>
        <v>16</v>
      </c>
      <c r="B21" s="20"/>
      <c r="C21" s="14" t="s">
        <v>34</v>
      </c>
      <c r="D21" s="16" t="s">
        <v>11</v>
      </c>
      <c r="E21" s="16" t="s">
        <v>22</v>
      </c>
      <c r="F21" s="24">
        <v>656928.0</v>
      </c>
      <c r="G21" s="25">
        <v>199.0</v>
      </c>
      <c r="H21" s="25">
        <v>21.0</v>
      </c>
      <c r="I21" s="12"/>
    </row>
    <row r="22">
      <c r="A22" s="12">
        <f t="shared" si="1"/>
        <v>17</v>
      </c>
      <c r="B22" s="13">
        <v>45849.0</v>
      </c>
      <c r="C22" s="14" t="s">
        <v>30</v>
      </c>
      <c r="D22" s="16" t="s">
        <v>11</v>
      </c>
      <c r="E22" s="16" t="s">
        <v>16</v>
      </c>
      <c r="F22" s="24">
        <v>1102198.0</v>
      </c>
      <c r="G22" s="25">
        <v>182.0</v>
      </c>
      <c r="H22" s="61"/>
      <c r="I22" s="12"/>
    </row>
    <row r="23">
      <c r="A23" s="12">
        <f t="shared" si="1"/>
        <v>18</v>
      </c>
      <c r="B23" s="20"/>
      <c r="C23" s="14" t="s">
        <v>34</v>
      </c>
      <c r="D23" s="16" t="s">
        <v>11</v>
      </c>
      <c r="E23" s="16" t="s">
        <v>22</v>
      </c>
      <c r="F23" s="24">
        <v>0.0</v>
      </c>
      <c r="G23" s="25">
        <v>122.0</v>
      </c>
      <c r="H23" s="25">
        <v>5.0</v>
      </c>
      <c r="I23" s="12"/>
    </row>
    <row r="24">
      <c r="A24" s="12">
        <f t="shared" si="1"/>
        <v>19</v>
      </c>
      <c r="B24" s="13">
        <v>45850.0</v>
      </c>
      <c r="C24" s="14" t="s">
        <v>34</v>
      </c>
      <c r="D24" s="15" t="s">
        <v>11</v>
      </c>
      <c r="E24" s="16" t="s">
        <v>22</v>
      </c>
      <c r="F24" s="24">
        <v>0.0</v>
      </c>
      <c r="G24" s="25">
        <v>126.0</v>
      </c>
      <c r="H24" s="25">
        <v>0.0</v>
      </c>
      <c r="I24" s="27"/>
    </row>
    <row r="25">
      <c r="A25" s="12">
        <f t="shared" si="1"/>
        <v>20</v>
      </c>
      <c r="B25" s="68">
        <v>45851.0</v>
      </c>
      <c r="C25" s="14" t="s">
        <v>34</v>
      </c>
      <c r="D25" s="15" t="s">
        <v>11</v>
      </c>
      <c r="E25" s="16" t="s">
        <v>22</v>
      </c>
      <c r="F25" s="24">
        <v>0.0</v>
      </c>
      <c r="G25" s="25">
        <v>57.0</v>
      </c>
      <c r="H25" s="25">
        <v>0.0</v>
      </c>
      <c r="I25" s="27"/>
    </row>
    <row r="26">
      <c r="A26" s="12">
        <f t="shared" si="1"/>
        <v>21</v>
      </c>
      <c r="B26" s="13">
        <v>45852.0</v>
      </c>
      <c r="C26" s="14" t="s">
        <v>30</v>
      </c>
      <c r="D26" s="15" t="s">
        <v>11</v>
      </c>
      <c r="E26" s="16" t="s">
        <v>16</v>
      </c>
      <c r="F26" s="24">
        <v>1132320.0</v>
      </c>
      <c r="G26" s="25">
        <v>183.0</v>
      </c>
      <c r="H26" s="61"/>
      <c r="I26" s="27"/>
    </row>
    <row r="27">
      <c r="A27" s="12">
        <f t="shared" si="1"/>
        <v>22</v>
      </c>
      <c r="B27" s="21"/>
      <c r="C27" s="14" t="s">
        <v>34</v>
      </c>
      <c r="D27" s="15" t="s">
        <v>11</v>
      </c>
      <c r="E27" s="16" t="s">
        <v>22</v>
      </c>
      <c r="F27" s="24">
        <v>324590.0</v>
      </c>
      <c r="G27" s="25">
        <v>102.0</v>
      </c>
      <c r="H27" s="25">
        <v>5.0</v>
      </c>
      <c r="I27" s="27"/>
    </row>
    <row r="28">
      <c r="A28" s="12">
        <f t="shared" si="1"/>
        <v>23</v>
      </c>
      <c r="B28" s="13">
        <v>45853.0</v>
      </c>
      <c r="C28" s="14" t="s">
        <v>30</v>
      </c>
      <c r="D28" s="15" t="s">
        <v>11</v>
      </c>
      <c r="E28" s="16" t="s">
        <v>16</v>
      </c>
      <c r="F28" s="24">
        <v>3188290.0</v>
      </c>
      <c r="G28" s="25">
        <v>152.0</v>
      </c>
      <c r="H28" s="61"/>
      <c r="I28" s="27"/>
    </row>
    <row r="29">
      <c r="A29" s="12">
        <f t="shared" si="1"/>
        <v>24</v>
      </c>
      <c r="B29" s="21"/>
      <c r="C29" s="14" t="s">
        <v>34</v>
      </c>
      <c r="D29" s="15" t="s">
        <v>11</v>
      </c>
      <c r="E29" s="16" t="s">
        <v>22</v>
      </c>
      <c r="F29" s="24">
        <v>429946.0</v>
      </c>
      <c r="G29" s="25">
        <v>113.0</v>
      </c>
      <c r="H29" s="25">
        <v>115.0</v>
      </c>
      <c r="I29" s="27"/>
    </row>
    <row r="30">
      <c r="A30" s="12">
        <f t="shared" si="1"/>
        <v>25</v>
      </c>
      <c r="B30" s="13">
        <v>45854.0</v>
      </c>
      <c r="C30" s="14" t="s">
        <v>30</v>
      </c>
      <c r="D30" s="15" t="s">
        <v>11</v>
      </c>
      <c r="E30" s="16" t="s">
        <v>16</v>
      </c>
      <c r="F30" s="24">
        <v>0.0</v>
      </c>
      <c r="G30" s="25">
        <v>63.0</v>
      </c>
      <c r="H30" s="61"/>
      <c r="I30" s="27"/>
    </row>
    <row r="31">
      <c r="A31" s="12">
        <f t="shared" si="1"/>
        <v>26</v>
      </c>
      <c r="B31" s="21"/>
      <c r="C31" s="14" t="s">
        <v>34</v>
      </c>
      <c r="D31" s="15" t="s">
        <v>11</v>
      </c>
      <c r="E31" s="16" t="s">
        <v>22</v>
      </c>
      <c r="F31" s="24">
        <v>1198338.0</v>
      </c>
      <c r="G31" s="25">
        <v>189.0</v>
      </c>
      <c r="H31" s="25">
        <v>50.0</v>
      </c>
      <c r="I31" s="27"/>
    </row>
    <row r="32">
      <c r="A32" s="12">
        <f t="shared" si="1"/>
        <v>27</v>
      </c>
      <c r="B32" s="13">
        <v>45855.0</v>
      </c>
      <c r="C32" s="14" t="s">
        <v>30</v>
      </c>
      <c r="D32" s="15" t="s">
        <v>11</v>
      </c>
      <c r="E32" s="16" t="s">
        <v>16</v>
      </c>
      <c r="F32" s="24">
        <v>682838.0</v>
      </c>
      <c r="G32" s="25">
        <v>116.0</v>
      </c>
      <c r="H32" s="61"/>
      <c r="I32" s="27"/>
    </row>
    <row r="33">
      <c r="A33" s="12">
        <f t="shared" si="1"/>
        <v>28</v>
      </c>
      <c r="B33" s="21"/>
      <c r="C33" s="14" t="s">
        <v>34</v>
      </c>
      <c r="D33" s="15" t="s">
        <v>11</v>
      </c>
      <c r="E33" s="16" t="s">
        <v>22</v>
      </c>
      <c r="F33" s="24">
        <v>0.0</v>
      </c>
      <c r="G33" s="25">
        <v>180.0</v>
      </c>
      <c r="H33" s="25">
        <v>0.0</v>
      </c>
      <c r="I33" s="27"/>
    </row>
    <row r="34">
      <c r="A34" s="12">
        <f t="shared" si="1"/>
        <v>29</v>
      </c>
      <c r="B34" s="13">
        <v>45856.0</v>
      </c>
      <c r="C34" s="14" t="s">
        <v>30</v>
      </c>
      <c r="D34" s="15" t="s">
        <v>11</v>
      </c>
      <c r="E34" s="16" t="s">
        <v>16</v>
      </c>
      <c r="F34" s="24">
        <v>0.0</v>
      </c>
      <c r="G34" s="25">
        <v>170.0</v>
      </c>
      <c r="H34" s="61"/>
      <c r="I34" s="27"/>
    </row>
    <row r="35">
      <c r="A35" s="12">
        <f t="shared" si="1"/>
        <v>30</v>
      </c>
      <c r="B35" s="21"/>
      <c r="C35" s="14" t="s">
        <v>34</v>
      </c>
      <c r="D35" s="15" t="s">
        <v>11</v>
      </c>
      <c r="E35" s="16" t="s">
        <v>22</v>
      </c>
      <c r="F35" s="24">
        <v>0.0</v>
      </c>
      <c r="G35" s="25">
        <v>135.0</v>
      </c>
      <c r="H35" s="25">
        <v>73.0</v>
      </c>
      <c r="I35" s="27"/>
    </row>
    <row r="36">
      <c r="A36" s="12">
        <f t="shared" si="1"/>
        <v>31</v>
      </c>
      <c r="B36" s="13">
        <v>45857.0</v>
      </c>
      <c r="C36" s="14" t="s">
        <v>34</v>
      </c>
      <c r="D36" s="15" t="s">
        <v>11</v>
      </c>
      <c r="E36" s="16" t="s">
        <v>22</v>
      </c>
      <c r="F36" s="24">
        <v>0.0</v>
      </c>
      <c r="G36" s="25">
        <v>100.0</v>
      </c>
      <c r="H36" s="25">
        <v>114.0</v>
      </c>
      <c r="I36" s="27"/>
    </row>
    <row r="37">
      <c r="A37" s="12">
        <f t="shared" si="1"/>
        <v>32</v>
      </c>
      <c r="B37" s="13">
        <v>45858.0</v>
      </c>
      <c r="C37" s="14" t="s">
        <v>34</v>
      </c>
      <c r="D37" s="15" t="s">
        <v>11</v>
      </c>
      <c r="E37" s="16" t="s">
        <v>22</v>
      </c>
      <c r="F37" s="24">
        <v>833580.0</v>
      </c>
      <c r="G37" s="25">
        <v>214.0</v>
      </c>
      <c r="H37" s="25">
        <v>38.0</v>
      </c>
      <c r="I37" s="27"/>
    </row>
    <row r="38">
      <c r="A38" s="12">
        <f t="shared" si="1"/>
        <v>33</v>
      </c>
      <c r="B38" s="13">
        <v>45859.0</v>
      </c>
      <c r="C38" s="14" t="s">
        <v>30</v>
      </c>
      <c r="D38" s="15" t="s">
        <v>11</v>
      </c>
      <c r="E38" s="16" t="s">
        <v>22</v>
      </c>
      <c r="F38" s="24">
        <v>2080535.0</v>
      </c>
      <c r="G38" s="25">
        <v>202.0</v>
      </c>
      <c r="H38" s="25">
        <v>1.0</v>
      </c>
      <c r="I38" s="27"/>
    </row>
    <row r="39">
      <c r="A39" s="12">
        <f t="shared" si="1"/>
        <v>34</v>
      </c>
      <c r="B39" s="21"/>
      <c r="C39" s="14" t="s">
        <v>34</v>
      </c>
      <c r="D39" s="15" t="s">
        <v>11</v>
      </c>
      <c r="E39" s="16" t="s">
        <v>16</v>
      </c>
      <c r="F39" s="24">
        <v>1206039.0</v>
      </c>
      <c r="G39" s="25">
        <v>98.0</v>
      </c>
      <c r="H39" s="61"/>
      <c r="I39" s="27"/>
    </row>
    <row r="40">
      <c r="A40" s="12">
        <f t="shared" si="1"/>
        <v>35</v>
      </c>
      <c r="B40" s="13">
        <v>45860.0</v>
      </c>
      <c r="C40" s="14" t="s">
        <v>30</v>
      </c>
      <c r="D40" s="15" t="s">
        <v>11</v>
      </c>
      <c r="E40" s="16" t="s">
        <v>22</v>
      </c>
      <c r="F40" s="24">
        <v>1265443.0</v>
      </c>
      <c r="G40" s="25">
        <v>206.0</v>
      </c>
      <c r="H40" s="25">
        <v>0.0</v>
      </c>
      <c r="I40" s="27"/>
    </row>
    <row r="41">
      <c r="A41" s="12">
        <f t="shared" si="1"/>
        <v>36</v>
      </c>
      <c r="B41" s="21"/>
      <c r="C41" s="14" t="s">
        <v>34</v>
      </c>
      <c r="D41" s="15" t="s">
        <v>11</v>
      </c>
      <c r="E41" s="16" t="s">
        <v>16</v>
      </c>
      <c r="F41" s="24">
        <v>751544.0</v>
      </c>
      <c r="G41" s="25">
        <v>91.0</v>
      </c>
      <c r="H41" s="61"/>
      <c r="I41" s="27"/>
    </row>
    <row r="42">
      <c r="A42" s="12">
        <f t="shared" si="1"/>
        <v>37</v>
      </c>
      <c r="B42" s="13">
        <v>45861.0</v>
      </c>
      <c r="C42" s="14" t="s">
        <v>10</v>
      </c>
      <c r="D42" s="15" t="s">
        <v>11</v>
      </c>
      <c r="E42" s="16" t="s">
        <v>16</v>
      </c>
      <c r="F42" s="24">
        <v>384176.0</v>
      </c>
      <c r="G42" s="25">
        <v>248.0</v>
      </c>
      <c r="H42" s="61"/>
      <c r="I42" s="27"/>
    </row>
    <row r="43">
      <c r="A43" s="12">
        <f t="shared" si="1"/>
        <v>38</v>
      </c>
      <c r="B43" s="21"/>
      <c r="C43" s="14" t="s">
        <v>34</v>
      </c>
      <c r="D43" s="15" t="s">
        <v>11</v>
      </c>
      <c r="E43" s="16" t="s">
        <v>22</v>
      </c>
      <c r="F43" s="24">
        <v>0.0</v>
      </c>
      <c r="G43" s="25">
        <v>73.0</v>
      </c>
      <c r="H43" s="25">
        <v>116.0</v>
      </c>
      <c r="I43" s="27"/>
    </row>
    <row r="44">
      <c r="A44" s="12">
        <f t="shared" si="1"/>
        <v>39</v>
      </c>
      <c r="B44" s="13">
        <v>45862.0</v>
      </c>
      <c r="C44" s="14" t="s">
        <v>30</v>
      </c>
      <c r="D44" s="15" t="s">
        <v>11</v>
      </c>
      <c r="E44" s="16" t="s">
        <v>16</v>
      </c>
      <c r="F44" s="24">
        <v>272050.0</v>
      </c>
      <c r="G44" s="25">
        <v>137.0</v>
      </c>
      <c r="H44" s="61"/>
      <c r="I44" s="27"/>
    </row>
    <row r="45">
      <c r="A45" s="12">
        <f t="shared" si="1"/>
        <v>40</v>
      </c>
      <c r="B45" s="21"/>
      <c r="C45" s="14" t="s">
        <v>40</v>
      </c>
      <c r="D45" s="15" t="s">
        <v>11</v>
      </c>
      <c r="E45" s="16" t="s">
        <v>22</v>
      </c>
      <c r="F45" s="24">
        <v>1145716.0</v>
      </c>
      <c r="G45" s="25">
        <v>95.0</v>
      </c>
      <c r="H45" s="62">
        <v>0.0</v>
      </c>
      <c r="I45" s="27"/>
    </row>
    <row r="46">
      <c r="A46" s="12">
        <f t="shared" si="1"/>
        <v>41</v>
      </c>
      <c r="B46" s="13">
        <v>45863.0</v>
      </c>
      <c r="C46" s="14" t="s">
        <v>49</v>
      </c>
      <c r="D46" s="15" t="s">
        <v>11</v>
      </c>
      <c r="E46" s="16" t="s">
        <v>16</v>
      </c>
      <c r="F46" s="24">
        <v>491395.0</v>
      </c>
      <c r="G46" s="25">
        <v>100.0</v>
      </c>
      <c r="H46" s="61"/>
      <c r="I46" s="27"/>
    </row>
    <row r="47">
      <c r="A47" s="12">
        <f t="shared" si="1"/>
        <v>42</v>
      </c>
      <c r="B47" s="21"/>
      <c r="C47" s="14" t="s">
        <v>50</v>
      </c>
      <c r="D47" s="15" t="s">
        <v>11</v>
      </c>
      <c r="E47" s="16" t="s">
        <v>22</v>
      </c>
      <c r="F47" s="24">
        <v>0.0</v>
      </c>
      <c r="G47" s="25">
        <v>101.0</v>
      </c>
      <c r="H47" s="25">
        <v>16.0</v>
      </c>
      <c r="I47" s="27"/>
    </row>
    <row r="48">
      <c r="A48" s="12">
        <f t="shared" si="1"/>
        <v>43</v>
      </c>
      <c r="B48" s="20"/>
      <c r="C48" s="14" t="s">
        <v>40</v>
      </c>
      <c r="D48" s="15" t="s">
        <v>11</v>
      </c>
      <c r="E48" s="16" t="s">
        <v>22</v>
      </c>
      <c r="F48" s="24">
        <v>359468.0</v>
      </c>
      <c r="G48" s="25">
        <v>92.0</v>
      </c>
      <c r="H48" s="25">
        <v>94.0</v>
      </c>
      <c r="I48" s="27"/>
    </row>
    <row r="49">
      <c r="A49" s="12">
        <f t="shared" si="1"/>
        <v>44</v>
      </c>
      <c r="B49" s="13">
        <v>45864.0</v>
      </c>
      <c r="C49" s="14" t="s">
        <v>38</v>
      </c>
      <c r="D49" s="15" t="s">
        <v>11</v>
      </c>
      <c r="E49" s="16" t="s">
        <v>22</v>
      </c>
      <c r="F49" s="24">
        <v>778412.0</v>
      </c>
      <c r="G49" s="25">
        <v>121.0</v>
      </c>
      <c r="H49" s="25">
        <v>5.0</v>
      </c>
      <c r="I49" s="27"/>
    </row>
    <row r="50">
      <c r="A50" s="12">
        <f t="shared" si="1"/>
        <v>45</v>
      </c>
      <c r="B50" s="21"/>
      <c r="C50" s="14" t="s">
        <v>50</v>
      </c>
      <c r="D50" s="15" t="s">
        <v>11</v>
      </c>
      <c r="E50" s="16" t="s">
        <v>22</v>
      </c>
      <c r="F50" s="24">
        <v>333865.0</v>
      </c>
      <c r="G50" s="25">
        <v>97.0</v>
      </c>
      <c r="H50" s="25">
        <v>101.0</v>
      </c>
      <c r="I50" s="27"/>
    </row>
    <row r="51">
      <c r="A51" s="12">
        <f t="shared" si="1"/>
        <v>46</v>
      </c>
      <c r="B51" s="20"/>
      <c r="C51" s="14" t="s">
        <v>40</v>
      </c>
      <c r="D51" s="15" t="s">
        <v>11</v>
      </c>
      <c r="E51" s="16" t="s">
        <v>16</v>
      </c>
      <c r="F51" s="24">
        <v>164419.0</v>
      </c>
      <c r="G51" s="25">
        <v>116.0</v>
      </c>
      <c r="H51" s="61"/>
      <c r="I51" s="27"/>
    </row>
    <row r="52">
      <c r="A52" s="12">
        <f t="shared" si="1"/>
        <v>47</v>
      </c>
      <c r="B52" s="13">
        <v>45865.0</v>
      </c>
      <c r="C52" s="14" t="s">
        <v>30</v>
      </c>
      <c r="D52" s="15" t="s">
        <v>11</v>
      </c>
      <c r="E52" s="16" t="s">
        <v>16</v>
      </c>
      <c r="F52" s="24">
        <v>1075800.0</v>
      </c>
      <c r="G52" s="25">
        <v>244.0</v>
      </c>
      <c r="H52" s="61"/>
      <c r="I52" s="27"/>
    </row>
    <row r="53">
      <c r="A53" s="12">
        <f t="shared" si="1"/>
        <v>48</v>
      </c>
      <c r="B53" s="20"/>
      <c r="C53" s="14" t="s">
        <v>40</v>
      </c>
      <c r="D53" s="15" t="s">
        <v>11</v>
      </c>
      <c r="E53" s="16" t="s">
        <v>22</v>
      </c>
      <c r="F53" s="24">
        <v>263274.0</v>
      </c>
      <c r="G53" s="25">
        <v>250.0</v>
      </c>
      <c r="H53" s="25">
        <v>0.0</v>
      </c>
      <c r="I53" s="27"/>
    </row>
    <row r="54">
      <c r="A54" s="12">
        <f t="shared" si="1"/>
        <v>49</v>
      </c>
      <c r="B54" s="13">
        <v>45866.0</v>
      </c>
      <c r="C54" s="14" t="s">
        <v>38</v>
      </c>
      <c r="D54" s="15" t="s">
        <v>11</v>
      </c>
      <c r="E54" s="16" t="s">
        <v>16</v>
      </c>
      <c r="F54" s="24">
        <v>942834.0</v>
      </c>
      <c r="G54" s="25">
        <v>279.0</v>
      </c>
      <c r="H54" s="61"/>
      <c r="I54" s="27"/>
    </row>
    <row r="55">
      <c r="A55" s="12">
        <f t="shared" si="1"/>
        <v>50</v>
      </c>
      <c r="B55" s="21"/>
      <c r="C55" s="14" t="s">
        <v>34</v>
      </c>
      <c r="D55" s="15" t="s">
        <v>11</v>
      </c>
      <c r="E55" s="16" t="s">
        <v>22</v>
      </c>
      <c r="F55" s="24">
        <v>634960.0</v>
      </c>
      <c r="G55" s="25">
        <v>133.0</v>
      </c>
      <c r="H55" s="25">
        <v>11.0</v>
      </c>
      <c r="I55" s="27"/>
    </row>
    <row r="56">
      <c r="A56" s="12">
        <f t="shared" si="1"/>
        <v>51</v>
      </c>
      <c r="B56" s="13">
        <v>45867.0</v>
      </c>
      <c r="C56" s="14" t="s">
        <v>30</v>
      </c>
      <c r="D56" s="15" t="s">
        <v>11</v>
      </c>
      <c r="E56" s="16" t="s">
        <v>16</v>
      </c>
      <c r="F56" s="24">
        <v>280764.0</v>
      </c>
      <c r="G56" s="25">
        <v>229.0</v>
      </c>
      <c r="H56" s="61"/>
      <c r="I56" s="27"/>
    </row>
    <row r="57">
      <c r="A57" s="12">
        <f t="shared" si="1"/>
        <v>52</v>
      </c>
      <c r="B57" s="21"/>
      <c r="C57" s="14" t="s">
        <v>40</v>
      </c>
      <c r="D57" s="15" t="s">
        <v>11</v>
      </c>
      <c r="E57" s="16" t="s">
        <v>22</v>
      </c>
      <c r="F57" s="24">
        <v>0.0</v>
      </c>
      <c r="G57" s="25">
        <v>106.0</v>
      </c>
      <c r="H57" s="25">
        <v>111.0</v>
      </c>
      <c r="I57" s="27"/>
    </row>
    <row r="58">
      <c r="A58" s="12">
        <f t="shared" si="1"/>
        <v>53</v>
      </c>
      <c r="B58" s="13">
        <v>45868.0</v>
      </c>
      <c r="C58" s="14" t="s">
        <v>30</v>
      </c>
      <c r="D58" s="15" t="s">
        <v>11</v>
      </c>
      <c r="E58" s="16" t="s">
        <v>16</v>
      </c>
      <c r="F58" s="24">
        <v>828986.0</v>
      </c>
      <c r="G58" s="25">
        <v>167.0</v>
      </c>
      <c r="H58" s="61"/>
      <c r="I58" s="27"/>
    </row>
    <row r="59">
      <c r="A59" s="12">
        <f t="shared" si="1"/>
        <v>54</v>
      </c>
      <c r="B59" s="21"/>
      <c r="C59" s="14" t="s">
        <v>34</v>
      </c>
      <c r="D59" s="16" t="s">
        <v>11</v>
      </c>
      <c r="E59" s="16" t="s">
        <v>22</v>
      </c>
      <c r="F59" s="24">
        <v>0.0</v>
      </c>
      <c r="G59" s="25">
        <v>133.0</v>
      </c>
      <c r="H59" s="25">
        <v>0.0</v>
      </c>
      <c r="I59" s="27"/>
    </row>
    <row r="60">
      <c r="A60" s="12">
        <f t="shared" si="1"/>
        <v>55</v>
      </c>
      <c r="B60" s="13">
        <v>45869.0</v>
      </c>
      <c r="C60" s="14" t="s">
        <v>30</v>
      </c>
      <c r="D60" s="16" t="s">
        <v>11</v>
      </c>
      <c r="E60" s="16" t="s">
        <v>16</v>
      </c>
      <c r="F60" s="24">
        <v>0.0</v>
      </c>
      <c r="G60" s="25">
        <v>274.0</v>
      </c>
      <c r="H60" s="61"/>
      <c r="I60" s="27"/>
    </row>
    <row r="61">
      <c r="A61" s="12">
        <f t="shared" si="1"/>
        <v>56</v>
      </c>
      <c r="B61" s="21"/>
      <c r="C61" s="14" t="s">
        <v>34</v>
      </c>
      <c r="D61" s="16" t="s">
        <v>11</v>
      </c>
      <c r="E61" s="16" t="s">
        <v>22</v>
      </c>
      <c r="F61" s="24">
        <v>0.0</v>
      </c>
      <c r="G61" s="25">
        <v>114.0</v>
      </c>
      <c r="H61" s="25">
        <v>1.0</v>
      </c>
      <c r="I61" s="27"/>
    </row>
    <row r="62">
      <c r="A62" s="12">
        <f t="shared" si="1"/>
        <v>57</v>
      </c>
      <c r="B62" s="33" t="s">
        <v>51</v>
      </c>
      <c r="C62" s="14" t="s">
        <v>30</v>
      </c>
      <c r="D62" s="16" t="s">
        <v>11</v>
      </c>
      <c r="E62" s="16" t="s">
        <v>16</v>
      </c>
      <c r="F62" s="64">
        <v>0.0</v>
      </c>
      <c r="G62" s="25">
        <v>134.0</v>
      </c>
      <c r="H62" s="26"/>
      <c r="I62" s="27"/>
    </row>
    <row r="63">
      <c r="A63" s="12">
        <f t="shared" si="1"/>
        <v>58</v>
      </c>
      <c r="B63" s="21"/>
      <c r="C63" s="14" t="s">
        <v>34</v>
      </c>
      <c r="D63" s="16" t="s">
        <v>11</v>
      </c>
      <c r="E63" s="16" t="s">
        <v>52</v>
      </c>
      <c r="F63" s="24">
        <v>906100.0</v>
      </c>
      <c r="G63" s="25">
        <v>140.0</v>
      </c>
      <c r="H63" s="61"/>
      <c r="I63" s="27"/>
    </row>
    <row r="64">
      <c r="A64" s="12">
        <f t="shared" si="1"/>
        <v>59</v>
      </c>
      <c r="B64" s="33" t="s">
        <v>53</v>
      </c>
      <c r="C64" s="14" t="s">
        <v>30</v>
      </c>
      <c r="D64" s="16" t="s">
        <v>11</v>
      </c>
      <c r="E64" s="16" t="s">
        <v>16</v>
      </c>
      <c r="F64" s="69">
        <v>618820.0</v>
      </c>
      <c r="G64" s="14">
        <v>256.0</v>
      </c>
      <c r="H64" s="70"/>
      <c r="I64" s="27"/>
    </row>
    <row r="65">
      <c r="A65" s="12">
        <f t="shared" si="1"/>
        <v>60</v>
      </c>
      <c r="B65" s="20"/>
      <c r="C65" s="14" t="s">
        <v>34</v>
      </c>
      <c r="D65" s="16" t="s">
        <v>11</v>
      </c>
      <c r="E65" s="16" t="s">
        <v>52</v>
      </c>
      <c r="F65" s="69">
        <v>0.0</v>
      </c>
      <c r="G65" s="14">
        <v>181.0</v>
      </c>
      <c r="H65" s="70"/>
      <c r="I65" s="27"/>
    </row>
    <row r="66">
      <c r="A66" s="12">
        <f t="shared" si="1"/>
        <v>61</v>
      </c>
      <c r="B66" s="33" t="s">
        <v>54</v>
      </c>
      <c r="C66" s="14" t="s">
        <v>30</v>
      </c>
      <c r="D66" s="16" t="s">
        <v>11</v>
      </c>
      <c r="E66" s="16" t="s">
        <v>16</v>
      </c>
      <c r="F66" s="69">
        <v>843820.0</v>
      </c>
      <c r="G66" s="14">
        <v>221.0</v>
      </c>
      <c r="H66" s="70"/>
      <c r="I66" s="27"/>
    </row>
    <row r="67">
      <c r="F67" s="71">
        <f>SUM(F6:F66)</f>
        <v>36428646</v>
      </c>
    </row>
    <row r="69">
      <c r="E69" s="57" t="s">
        <v>31</v>
      </c>
    </row>
    <row r="70">
      <c r="E70" s="66" t="s">
        <v>16</v>
      </c>
      <c r="F70" s="58" t="s">
        <v>55</v>
      </c>
    </row>
    <row r="71">
      <c r="D71" s="58"/>
      <c r="E71" s="58" t="s">
        <v>22</v>
      </c>
      <c r="F71" s="58" t="s">
        <v>56</v>
      </c>
    </row>
    <row r="72">
      <c r="E72" s="58" t="s">
        <v>52</v>
      </c>
      <c r="F72" s="58" t="s">
        <v>57</v>
      </c>
    </row>
  </sheetData>
  <mergeCells count="26">
    <mergeCell ref="A2:C3"/>
    <mergeCell ref="B6:B7"/>
    <mergeCell ref="B8:B9"/>
    <mergeCell ref="B12:B14"/>
    <mergeCell ref="B15:B17"/>
    <mergeCell ref="B18:B19"/>
    <mergeCell ref="B20:B21"/>
    <mergeCell ref="B22:B23"/>
    <mergeCell ref="B26:B27"/>
    <mergeCell ref="B28:B29"/>
    <mergeCell ref="B30:B31"/>
    <mergeCell ref="B32:B33"/>
    <mergeCell ref="B34:B35"/>
    <mergeCell ref="B38:B39"/>
    <mergeCell ref="B56:B57"/>
    <mergeCell ref="B58:B59"/>
    <mergeCell ref="B60:B61"/>
    <mergeCell ref="B62:B63"/>
    <mergeCell ref="B64:B65"/>
    <mergeCell ref="B40:B41"/>
    <mergeCell ref="B42:B43"/>
    <mergeCell ref="B44:B45"/>
    <mergeCell ref="B46:B48"/>
    <mergeCell ref="B49:B51"/>
    <mergeCell ref="B52:B53"/>
    <mergeCell ref="B54:B5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2">
      <c r="A2" s="3" t="s">
        <v>0</v>
      </c>
      <c r="B2" s="72"/>
    </row>
    <row r="3">
      <c r="A3" s="73"/>
      <c r="B3" s="74"/>
    </row>
    <row r="5">
      <c r="A5" s="9" t="s">
        <v>2</v>
      </c>
      <c r="B5" s="9" t="s">
        <v>3</v>
      </c>
      <c r="C5" s="9" t="s">
        <v>4</v>
      </c>
      <c r="D5" s="9" t="s">
        <v>5</v>
      </c>
      <c r="E5" s="10" t="s">
        <v>6</v>
      </c>
      <c r="F5" s="9" t="s">
        <v>7</v>
      </c>
      <c r="G5" s="9" t="s">
        <v>8</v>
      </c>
      <c r="H5" s="75" t="s">
        <v>58</v>
      </c>
    </row>
    <row r="6">
      <c r="A6" s="76">
        <v>45904.0</v>
      </c>
      <c r="B6" s="14" t="s">
        <v>59</v>
      </c>
      <c r="C6" s="16" t="s">
        <v>11</v>
      </c>
      <c r="D6" s="16" t="s">
        <v>52</v>
      </c>
      <c r="E6" s="24">
        <v>1015560.0</v>
      </c>
      <c r="F6" s="25">
        <v>221.0</v>
      </c>
      <c r="G6" s="18">
        <v>356.0</v>
      </c>
      <c r="H6" s="14">
        <v>32.0</v>
      </c>
    </row>
    <row r="7">
      <c r="A7" s="77">
        <v>45905.0</v>
      </c>
      <c r="B7" s="78" t="s">
        <v>38</v>
      </c>
      <c r="C7" s="16" t="s">
        <v>11</v>
      </c>
      <c r="D7" s="16" t="s">
        <v>60</v>
      </c>
      <c r="E7" s="24">
        <v>1.3253415E7</v>
      </c>
      <c r="F7" s="25">
        <v>459.0</v>
      </c>
      <c r="G7" s="18">
        <v>234.0</v>
      </c>
      <c r="H7" s="14">
        <v>77.0</v>
      </c>
    </row>
    <row r="8">
      <c r="A8" s="79"/>
      <c r="B8" s="78" t="s">
        <v>59</v>
      </c>
      <c r="C8" s="16" t="s">
        <v>11</v>
      </c>
      <c r="D8" s="16" t="s">
        <v>52</v>
      </c>
      <c r="E8" s="24">
        <v>539320.0</v>
      </c>
      <c r="F8" s="25">
        <v>325.0</v>
      </c>
      <c r="G8" s="18">
        <v>103.0</v>
      </c>
      <c r="H8" s="14">
        <v>29.0</v>
      </c>
    </row>
    <row r="9">
      <c r="A9" s="80">
        <v>45906.0</v>
      </c>
      <c r="B9" s="14" t="s">
        <v>38</v>
      </c>
      <c r="C9" s="16" t="s">
        <v>11</v>
      </c>
      <c r="D9" s="16" t="s">
        <v>60</v>
      </c>
      <c r="E9" s="24">
        <v>321892.0</v>
      </c>
      <c r="F9" s="25">
        <v>346.0</v>
      </c>
      <c r="G9" s="18">
        <v>453.0</v>
      </c>
      <c r="H9" s="14">
        <v>34.0</v>
      </c>
    </row>
    <row r="10">
      <c r="A10" s="21"/>
      <c r="B10" s="14" t="s">
        <v>59</v>
      </c>
      <c r="C10" s="16" t="s">
        <v>11</v>
      </c>
      <c r="D10" s="16" t="s">
        <v>52</v>
      </c>
      <c r="E10" s="24">
        <v>959694.0</v>
      </c>
      <c r="F10" s="25">
        <v>332.0</v>
      </c>
      <c r="G10" s="18">
        <v>111.0</v>
      </c>
      <c r="H10" s="14">
        <v>23.0</v>
      </c>
    </row>
    <row r="11">
      <c r="A11" s="77">
        <v>45907.0</v>
      </c>
      <c r="B11" s="78" t="s">
        <v>38</v>
      </c>
      <c r="C11" s="16" t="s">
        <v>11</v>
      </c>
      <c r="D11" s="16" t="s">
        <v>60</v>
      </c>
      <c r="E11" s="24">
        <v>4.4740754E7</v>
      </c>
      <c r="F11" s="25">
        <v>398.0</v>
      </c>
      <c r="G11" s="18">
        <v>128.0</v>
      </c>
      <c r="H11" s="14">
        <v>24.0</v>
      </c>
    </row>
    <row r="12">
      <c r="A12" s="79"/>
      <c r="B12" s="78" t="s">
        <v>59</v>
      </c>
      <c r="C12" s="15" t="s">
        <v>11</v>
      </c>
      <c r="D12" s="16" t="s">
        <v>52</v>
      </c>
      <c r="E12" s="17">
        <v>6138694.0</v>
      </c>
      <c r="F12" s="18">
        <v>517.0</v>
      </c>
      <c r="G12" s="18">
        <v>23.0</v>
      </c>
      <c r="H12" s="14">
        <v>40.0</v>
      </c>
    </row>
    <row r="13">
      <c r="A13" s="80">
        <v>45908.0</v>
      </c>
      <c r="B13" s="14" t="s">
        <v>38</v>
      </c>
      <c r="C13" s="15" t="s">
        <v>11</v>
      </c>
      <c r="D13" s="16" t="s">
        <v>60</v>
      </c>
      <c r="E13" s="17">
        <v>2070740.0</v>
      </c>
      <c r="F13" s="18">
        <v>216.0</v>
      </c>
      <c r="G13" s="18">
        <v>33.0</v>
      </c>
      <c r="H13" s="14">
        <v>45.0</v>
      </c>
    </row>
    <row r="14">
      <c r="A14" s="21"/>
      <c r="B14" s="14" t="s">
        <v>59</v>
      </c>
      <c r="C14" s="15" t="s">
        <v>11</v>
      </c>
      <c r="D14" s="16" t="s">
        <v>52</v>
      </c>
      <c r="E14" s="17">
        <v>1993521.0</v>
      </c>
      <c r="F14" s="18">
        <v>438.0</v>
      </c>
      <c r="G14" s="18">
        <v>38.0</v>
      </c>
      <c r="H14" s="14">
        <v>41.0</v>
      </c>
    </row>
    <row r="15">
      <c r="A15" s="81">
        <v>45909.0</v>
      </c>
      <c r="B15" s="14" t="s">
        <v>38</v>
      </c>
      <c r="C15" s="15" t="s">
        <v>11</v>
      </c>
      <c r="D15" s="16" t="s">
        <v>60</v>
      </c>
      <c r="E15" s="82">
        <v>3900881.0</v>
      </c>
      <c r="F15" s="18">
        <v>334.0</v>
      </c>
      <c r="G15" s="18">
        <v>123.0</v>
      </c>
      <c r="H15" s="14">
        <v>103.0</v>
      </c>
    </row>
    <row r="16">
      <c r="A16" s="21"/>
      <c r="B16" s="14" t="s">
        <v>34</v>
      </c>
      <c r="C16" s="16" t="s">
        <v>11</v>
      </c>
      <c r="D16" s="16" t="s">
        <v>60</v>
      </c>
      <c r="E16" s="82">
        <v>2853540.0</v>
      </c>
      <c r="F16" s="18">
        <v>352.0</v>
      </c>
      <c r="G16" s="18">
        <v>421.0</v>
      </c>
      <c r="H16" s="14">
        <v>39.0</v>
      </c>
    </row>
    <row r="17">
      <c r="A17" s="20"/>
      <c r="B17" s="14" t="s">
        <v>61</v>
      </c>
      <c r="C17" s="15" t="s">
        <v>11</v>
      </c>
      <c r="D17" s="16" t="s">
        <v>52</v>
      </c>
      <c r="E17" s="82">
        <v>5071671.0</v>
      </c>
      <c r="F17" s="18">
        <v>389.0</v>
      </c>
      <c r="G17" s="18">
        <v>120.0</v>
      </c>
      <c r="H17" s="14">
        <v>46.0</v>
      </c>
    </row>
    <row r="18">
      <c r="A18" s="81">
        <v>45910.0</v>
      </c>
      <c r="B18" s="14" t="s">
        <v>38</v>
      </c>
      <c r="C18" s="15" t="s">
        <v>11</v>
      </c>
      <c r="D18" s="16" t="s">
        <v>60</v>
      </c>
      <c r="E18" s="17">
        <v>1879597.0</v>
      </c>
      <c r="F18" s="18">
        <v>266.0</v>
      </c>
      <c r="G18" s="18">
        <v>70.0</v>
      </c>
      <c r="H18" s="14">
        <v>44.0</v>
      </c>
    </row>
    <row r="19">
      <c r="A19" s="21"/>
      <c r="B19" s="14" t="s">
        <v>34</v>
      </c>
      <c r="C19" s="15" t="s">
        <v>11</v>
      </c>
      <c r="D19" s="16" t="s">
        <v>60</v>
      </c>
      <c r="E19" s="17">
        <v>1932260.0</v>
      </c>
      <c r="F19" s="18">
        <v>457.0</v>
      </c>
      <c r="G19" s="18">
        <v>128.0</v>
      </c>
      <c r="H19" s="14">
        <v>45.0</v>
      </c>
    </row>
    <row r="20">
      <c r="A20" s="21"/>
      <c r="B20" s="14" t="s">
        <v>61</v>
      </c>
      <c r="C20" s="15" t="s">
        <v>11</v>
      </c>
      <c r="D20" s="16" t="s">
        <v>52</v>
      </c>
      <c r="E20" s="17">
        <v>1214187.0</v>
      </c>
      <c r="F20" s="18">
        <v>442.0</v>
      </c>
      <c r="G20" s="18">
        <v>3.0</v>
      </c>
      <c r="H20" s="14">
        <v>12.0</v>
      </c>
    </row>
    <row r="21">
      <c r="A21" s="77">
        <v>45911.0</v>
      </c>
      <c r="B21" s="78" t="s">
        <v>38</v>
      </c>
      <c r="C21" s="16" t="s">
        <v>11</v>
      </c>
      <c r="D21" s="16" t="s">
        <v>60</v>
      </c>
      <c r="E21" s="24">
        <v>1445941.0</v>
      </c>
      <c r="F21" s="25">
        <v>191.0</v>
      </c>
      <c r="G21" s="25">
        <v>78.0</v>
      </c>
      <c r="H21" s="14">
        <v>19.0</v>
      </c>
    </row>
    <row r="22">
      <c r="A22" s="79"/>
      <c r="B22" s="78" t="s">
        <v>59</v>
      </c>
      <c r="C22" s="15" t="s">
        <v>11</v>
      </c>
      <c r="D22" s="16" t="s">
        <v>52</v>
      </c>
      <c r="E22" s="17">
        <v>1066640.0</v>
      </c>
      <c r="F22" s="25">
        <v>252.0</v>
      </c>
      <c r="G22" s="25">
        <v>38.0</v>
      </c>
      <c r="H22" s="14">
        <v>20.0</v>
      </c>
    </row>
    <row r="23">
      <c r="A23" s="80">
        <v>45912.0</v>
      </c>
      <c r="B23" s="14" t="s">
        <v>38</v>
      </c>
      <c r="C23" s="16" t="s">
        <v>11</v>
      </c>
      <c r="D23" s="16" t="s">
        <v>60</v>
      </c>
      <c r="E23" s="24">
        <v>3777414.0</v>
      </c>
      <c r="F23" s="25">
        <v>185.0</v>
      </c>
      <c r="G23" s="25">
        <v>16.0</v>
      </c>
      <c r="H23" s="14">
        <v>56.0</v>
      </c>
    </row>
    <row r="24">
      <c r="A24" s="21"/>
      <c r="B24" s="14" t="s">
        <v>59</v>
      </c>
      <c r="C24" s="15" t="s">
        <v>11</v>
      </c>
      <c r="D24" s="16" t="s">
        <v>52</v>
      </c>
      <c r="E24" s="24">
        <v>278456.0</v>
      </c>
      <c r="F24" s="25">
        <v>235.0</v>
      </c>
      <c r="G24" s="25">
        <v>6.0</v>
      </c>
      <c r="H24" s="14">
        <v>22.0</v>
      </c>
      <c r="I24" s="2"/>
    </row>
    <row r="25">
      <c r="A25" s="76">
        <v>45914.0</v>
      </c>
      <c r="B25" s="14" t="s">
        <v>40</v>
      </c>
      <c r="C25" s="15" t="s">
        <v>11</v>
      </c>
      <c r="D25" s="16" t="s">
        <v>52</v>
      </c>
      <c r="E25" s="24">
        <v>312638.0</v>
      </c>
      <c r="F25" s="25">
        <v>272.0</v>
      </c>
      <c r="G25" s="25">
        <v>120.0</v>
      </c>
      <c r="H25" s="14">
        <v>28.0</v>
      </c>
      <c r="I25" s="2"/>
    </row>
    <row r="26">
      <c r="A26" s="76">
        <v>45914.0</v>
      </c>
      <c r="B26" s="14" t="s">
        <v>59</v>
      </c>
      <c r="C26" s="15" t="s">
        <v>11</v>
      </c>
      <c r="D26" s="16" t="s">
        <v>52</v>
      </c>
      <c r="E26" s="24">
        <v>0.0</v>
      </c>
      <c r="F26" s="25">
        <v>318.0</v>
      </c>
      <c r="G26" s="25">
        <v>70.0</v>
      </c>
      <c r="H26" s="14">
        <v>22.0</v>
      </c>
      <c r="I26" s="2"/>
    </row>
    <row r="27">
      <c r="A27" s="77">
        <v>45915.0</v>
      </c>
      <c r="B27" s="78" t="s">
        <v>38</v>
      </c>
      <c r="C27" s="15" t="s">
        <v>11</v>
      </c>
      <c r="D27" s="16" t="s">
        <v>60</v>
      </c>
      <c r="E27" s="24">
        <v>2015074.0</v>
      </c>
      <c r="F27" s="25">
        <v>158.0</v>
      </c>
      <c r="G27" s="25">
        <v>12.0</v>
      </c>
      <c r="H27" s="14">
        <v>27.0</v>
      </c>
      <c r="I27" s="2"/>
    </row>
    <row r="28">
      <c r="A28" s="79"/>
      <c r="B28" s="78" t="s">
        <v>59</v>
      </c>
      <c r="C28" s="15" t="s">
        <v>11</v>
      </c>
      <c r="D28" s="16" t="s">
        <v>52</v>
      </c>
      <c r="E28" s="24">
        <v>1004638.0</v>
      </c>
      <c r="F28" s="25">
        <v>209.0</v>
      </c>
      <c r="G28" s="25">
        <v>123.0</v>
      </c>
      <c r="H28" s="14">
        <v>34.0</v>
      </c>
      <c r="I28" s="2"/>
    </row>
    <row r="29">
      <c r="A29" s="77">
        <v>45916.0</v>
      </c>
      <c r="B29" s="78" t="s">
        <v>62</v>
      </c>
      <c r="C29" s="15" t="s">
        <v>11</v>
      </c>
      <c r="D29" s="16" t="s">
        <v>60</v>
      </c>
      <c r="E29" s="24">
        <v>533320.0</v>
      </c>
      <c r="F29" s="25">
        <v>130.0</v>
      </c>
      <c r="G29" s="25">
        <v>42.0</v>
      </c>
      <c r="H29" s="14">
        <v>30.0</v>
      </c>
      <c r="I29" s="2"/>
    </row>
    <row r="30">
      <c r="A30" s="79"/>
      <c r="B30" s="78" t="s">
        <v>61</v>
      </c>
      <c r="C30" s="15" t="s">
        <v>11</v>
      </c>
      <c r="D30" s="16" t="s">
        <v>52</v>
      </c>
      <c r="E30" s="24">
        <v>118417.0</v>
      </c>
      <c r="F30" s="25">
        <v>189.0</v>
      </c>
      <c r="G30" s="25">
        <v>32.0</v>
      </c>
      <c r="H30" s="14">
        <v>10.0</v>
      </c>
      <c r="I30" s="2"/>
    </row>
    <row r="31">
      <c r="A31" s="83">
        <v>45917.0</v>
      </c>
      <c r="B31" s="78" t="s">
        <v>38</v>
      </c>
      <c r="C31" s="15" t="s">
        <v>11</v>
      </c>
      <c r="D31" s="16" t="s">
        <v>60</v>
      </c>
      <c r="E31" s="24">
        <v>998270.0</v>
      </c>
      <c r="F31" s="25">
        <v>113.0</v>
      </c>
      <c r="G31" s="62" t="s">
        <v>63</v>
      </c>
      <c r="H31" s="14">
        <v>35.0</v>
      </c>
      <c r="I31" s="2"/>
    </row>
    <row r="32">
      <c r="A32" s="83"/>
      <c r="B32" s="78" t="s">
        <v>61</v>
      </c>
      <c r="C32" s="15" t="s">
        <v>11</v>
      </c>
      <c r="D32" s="16" t="s">
        <v>52</v>
      </c>
      <c r="E32" s="24">
        <v>539320.0</v>
      </c>
      <c r="F32" s="25">
        <v>148.0</v>
      </c>
      <c r="G32" s="25">
        <v>32.0</v>
      </c>
      <c r="H32" s="14">
        <v>31.0</v>
      </c>
      <c r="I32" s="2"/>
    </row>
    <row r="33">
      <c r="A33" s="77">
        <v>45918.0</v>
      </c>
      <c r="B33" s="78" t="s">
        <v>38</v>
      </c>
      <c r="C33" s="15" t="s">
        <v>11</v>
      </c>
      <c r="D33" s="16" t="s">
        <v>60</v>
      </c>
      <c r="E33" s="24">
        <v>1861800.0</v>
      </c>
      <c r="F33" s="25">
        <v>119.0</v>
      </c>
      <c r="G33" s="62" t="s">
        <v>64</v>
      </c>
      <c r="H33" s="14">
        <v>42.0</v>
      </c>
      <c r="I33" s="2"/>
    </row>
    <row r="34">
      <c r="A34" s="84"/>
      <c r="B34" s="78" t="s">
        <v>61</v>
      </c>
      <c r="C34" s="15" t="s">
        <v>11</v>
      </c>
      <c r="D34" s="16" t="s">
        <v>52</v>
      </c>
      <c r="E34" s="24">
        <v>0.0</v>
      </c>
      <c r="F34" s="25">
        <v>166.0</v>
      </c>
      <c r="G34" s="25">
        <v>532.0</v>
      </c>
      <c r="H34" s="14">
        <v>27.0</v>
      </c>
      <c r="I34" s="2"/>
    </row>
    <row r="35">
      <c r="A35" s="80">
        <v>45919.0</v>
      </c>
      <c r="B35" s="70" t="s">
        <v>38</v>
      </c>
      <c r="C35" s="15" t="s">
        <v>11</v>
      </c>
      <c r="D35" s="16" t="s">
        <v>60</v>
      </c>
      <c r="E35" s="24">
        <v>1532057.0</v>
      </c>
      <c r="F35" s="25">
        <v>138.0</v>
      </c>
      <c r="G35" s="25">
        <v>64.0</v>
      </c>
      <c r="H35" s="14">
        <v>50.0</v>
      </c>
      <c r="I35" s="2"/>
    </row>
    <row r="36">
      <c r="A36" s="21"/>
      <c r="B36" s="70" t="s">
        <v>59</v>
      </c>
      <c r="C36" s="15" t="s">
        <v>11</v>
      </c>
      <c r="D36" s="16" t="s">
        <v>52</v>
      </c>
      <c r="E36" s="24">
        <v>1616460.0</v>
      </c>
      <c r="F36" s="25">
        <v>148.0</v>
      </c>
      <c r="G36" s="25">
        <v>45.0</v>
      </c>
      <c r="H36" s="14">
        <v>4.0</v>
      </c>
      <c r="I36" s="2"/>
    </row>
    <row r="37">
      <c r="A37" s="81">
        <v>45920.0</v>
      </c>
      <c r="B37" s="70" t="s">
        <v>38</v>
      </c>
      <c r="C37" s="15" t="s">
        <v>11</v>
      </c>
      <c r="D37" s="16" t="s">
        <v>60</v>
      </c>
      <c r="E37" s="24">
        <v>1083635.0</v>
      </c>
      <c r="F37" s="25">
        <v>110.0</v>
      </c>
      <c r="G37" s="25">
        <v>211.0</v>
      </c>
      <c r="H37" s="14">
        <v>14.0</v>
      </c>
      <c r="I37" s="2"/>
    </row>
    <row r="38">
      <c r="A38" s="21"/>
      <c r="B38" s="70" t="s">
        <v>59</v>
      </c>
      <c r="C38" s="15" t="s">
        <v>11</v>
      </c>
      <c r="D38" s="16" t="s">
        <v>52</v>
      </c>
      <c r="E38" s="24">
        <v>543320.0</v>
      </c>
      <c r="F38" s="25">
        <v>148.0</v>
      </c>
      <c r="G38" s="25">
        <v>3.0</v>
      </c>
      <c r="H38" s="14">
        <v>43.0</v>
      </c>
      <c r="I38" s="2"/>
    </row>
    <row r="39">
      <c r="A39" s="81">
        <v>45921.0</v>
      </c>
      <c r="B39" s="70" t="s">
        <v>59</v>
      </c>
      <c r="C39" s="15" t="s">
        <v>11</v>
      </c>
      <c r="D39" s="16" t="s">
        <v>52</v>
      </c>
      <c r="E39" s="24">
        <v>92040.0</v>
      </c>
      <c r="F39" s="25">
        <v>191.0</v>
      </c>
      <c r="G39" s="25">
        <v>38.0</v>
      </c>
      <c r="H39" s="14">
        <v>40.0</v>
      </c>
      <c r="I39" s="2"/>
    </row>
    <row r="40">
      <c r="A40" s="77">
        <v>45922.0</v>
      </c>
      <c r="B40" s="78" t="s">
        <v>34</v>
      </c>
      <c r="C40" s="15" t="s">
        <v>11</v>
      </c>
      <c r="D40" s="16" t="s">
        <v>52</v>
      </c>
      <c r="E40" s="24">
        <v>0.0</v>
      </c>
      <c r="F40" s="25">
        <v>122.0</v>
      </c>
      <c r="G40" s="25">
        <v>45.0</v>
      </c>
      <c r="H40" s="14">
        <v>22.0</v>
      </c>
      <c r="I40" s="2"/>
    </row>
    <row r="41">
      <c r="A41" s="84"/>
      <c r="B41" s="85" t="s">
        <v>59</v>
      </c>
      <c r="C41" s="15" t="s">
        <v>11</v>
      </c>
      <c r="D41" s="16" t="s">
        <v>52</v>
      </c>
      <c r="E41" s="24">
        <v>1532561.0</v>
      </c>
      <c r="F41" s="25">
        <v>147.0</v>
      </c>
      <c r="G41" s="25">
        <v>123.0</v>
      </c>
      <c r="H41" s="14">
        <v>23.0</v>
      </c>
      <c r="I41" s="2"/>
    </row>
    <row r="42">
      <c r="A42" s="80">
        <v>45923.0</v>
      </c>
      <c r="B42" s="14" t="s">
        <v>62</v>
      </c>
      <c r="C42" s="15" t="s">
        <v>11</v>
      </c>
      <c r="D42" s="16" t="s">
        <v>60</v>
      </c>
      <c r="E42" s="24">
        <v>533320.0</v>
      </c>
      <c r="F42" s="25">
        <v>101.0</v>
      </c>
      <c r="G42" s="25">
        <v>457.0</v>
      </c>
      <c r="H42" s="14">
        <v>80.0</v>
      </c>
      <c r="I42" s="2"/>
    </row>
    <row r="43">
      <c r="A43" s="21"/>
      <c r="B43" s="14" t="s">
        <v>59</v>
      </c>
      <c r="C43" s="15" t="s">
        <v>11</v>
      </c>
      <c r="D43" s="16" t="s">
        <v>52</v>
      </c>
      <c r="E43" s="24">
        <v>239956.0</v>
      </c>
      <c r="F43" s="25">
        <v>125.0</v>
      </c>
      <c r="G43" s="25">
        <v>3.0</v>
      </c>
      <c r="H43" s="14">
        <v>25.0</v>
      </c>
      <c r="I43" s="2"/>
    </row>
    <row r="44">
      <c r="A44" s="81">
        <v>45924.0</v>
      </c>
      <c r="B44" s="14" t="s">
        <v>62</v>
      </c>
      <c r="C44" s="15" t="s">
        <v>11</v>
      </c>
      <c r="D44" s="16" t="s">
        <v>60</v>
      </c>
      <c r="E44" s="24">
        <v>0.0</v>
      </c>
      <c r="F44" s="25">
        <v>112.0</v>
      </c>
      <c r="G44" s="25">
        <v>63.0</v>
      </c>
      <c r="H44" s="14">
        <v>34.0</v>
      </c>
      <c r="I44" s="2"/>
    </row>
    <row r="45">
      <c r="A45" s="21"/>
      <c r="B45" s="14" t="s">
        <v>59</v>
      </c>
      <c r="C45" s="15" t="s">
        <v>11</v>
      </c>
      <c r="D45" s="16" t="s">
        <v>52</v>
      </c>
      <c r="E45" s="24">
        <v>0.0</v>
      </c>
      <c r="F45" s="25">
        <v>149.0</v>
      </c>
      <c r="G45" s="25">
        <v>38.0</v>
      </c>
      <c r="H45" s="14">
        <v>21.0</v>
      </c>
      <c r="I45" s="2"/>
    </row>
    <row r="46">
      <c r="A46" s="77">
        <v>45925.0</v>
      </c>
      <c r="B46" s="78" t="s">
        <v>38</v>
      </c>
      <c r="C46" s="15" t="s">
        <v>11</v>
      </c>
      <c r="D46" s="16" t="s">
        <v>60</v>
      </c>
      <c r="E46" s="24">
        <v>863017.0</v>
      </c>
      <c r="F46" s="25">
        <v>124.0</v>
      </c>
      <c r="G46" s="25">
        <v>23.0</v>
      </c>
      <c r="H46" s="14">
        <v>27.0</v>
      </c>
      <c r="I46" s="2"/>
    </row>
    <row r="47">
      <c r="A47" s="86"/>
      <c r="B47" s="78" t="s">
        <v>40</v>
      </c>
      <c r="C47" s="15" t="s">
        <v>11</v>
      </c>
      <c r="D47" s="87" t="s">
        <v>52</v>
      </c>
      <c r="E47" s="24">
        <v>838841.0</v>
      </c>
      <c r="F47" s="25">
        <v>142.0</v>
      </c>
      <c r="G47" s="25">
        <v>87.0</v>
      </c>
      <c r="H47" s="14">
        <v>51.0</v>
      </c>
      <c r="I47" s="2"/>
    </row>
    <row r="48">
      <c r="A48" s="79"/>
      <c r="B48" s="78" t="s">
        <v>59</v>
      </c>
      <c r="C48" s="15" t="s">
        <v>11</v>
      </c>
      <c r="D48" s="16" t="s">
        <v>52</v>
      </c>
      <c r="E48" s="24">
        <v>554340.0</v>
      </c>
      <c r="F48" s="25">
        <v>201.0</v>
      </c>
      <c r="G48" s="25">
        <v>32.0</v>
      </c>
      <c r="H48" s="14">
        <v>51.0</v>
      </c>
      <c r="I48" s="2"/>
    </row>
    <row r="49">
      <c r="A49" s="77">
        <v>45926.0</v>
      </c>
      <c r="B49" s="78" t="s">
        <v>38</v>
      </c>
      <c r="C49" s="15" t="s">
        <v>11</v>
      </c>
      <c r="D49" s="16" t="s">
        <v>60</v>
      </c>
      <c r="E49" s="24">
        <v>0.0</v>
      </c>
      <c r="F49" s="25">
        <v>123.0</v>
      </c>
      <c r="G49" s="25">
        <v>1.0</v>
      </c>
      <c r="H49" s="14">
        <v>48.0</v>
      </c>
      <c r="I49" s="2"/>
    </row>
    <row r="50">
      <c r="A50" s="79"/>
      <c r="B50" s="78" t="s">
        <v>40</v>
      </c>
      <c r="C50" s="15" t="s">
        <v>11</v>
      </c>
      <c r="D50" s="16" t="s">
        <v>52</v>
      </c>
      <c r="E50" s="24">
        <v>380207.0</v>
      </c>
      <c r="F50" s="25">
        <v>441.0</v>
      </c>
      <c r="G50" s="25">
        <v>43.0</v>
      </c>
      <c r="H50" s="14">
        <v>78.0</v>
      </c>
      <c r="I50" s="2"/>
    </row>
    <row r="51">
      <c r="A51" s="88"/>
      <c r="B51" s="78" t="s">
        <v>59</v>
      </c>
      <c r="C51" s="15" t="s">
        <v>11</v>
      </c>
      <c r="D51" s="16" t="s">
        <v>52</v>
      </c>
      <c r="E51" s="24">
        <v>0.0</v>
      </c>
      <c r="F51" s="25">
        <v>0.0</v>
      </c>
      <c r="G51" s="25">
        <v>43.0</v>
      </c>
      <c r="H51" s="14">
        <v>0.0</v>
      </c>
      <c r="I51" s="2"/>
    </row>
    <row r="52">
      <c r="A52" s="80">
        <v>45927.0</v>
      </c>
      <c r="B52" s="14" t="s">
        <v>38</v>
      </c>
      <c r="C52" s="15" t="s">
        <v>11</v>
      </c>
      <c r="D52" s="16" t="s">
        <v>52</v>
      </c>
      <c r="E52" s="24">
        <v>280181.0</v>
      </c>
      <c r="F52" s="25">
        <v>167.0</v>
      </c>
      <c r="G52" s="25">
        <v>128.0</v>
      </c>
      <c r="H52" s="14">
        <v>26.0</v>
      </c>
      <c r="I52" s="2"/>
    </row>
    <row r="53">
      <c r="A53" s="21"/>
      <c r="B53" s="78" t="s">
        <v>59</v>
      </c>
      <c r="C53" s="15" t="s">
        <v>11</v>
      </c>
      <c r="D53" s="16" t="s">
        <v>60</v>
      </c>
      <c r="E53" s="24">
        <v>0.0</v>
      </c>
      <c r="F53" s="25">
        <v>247.0</v>
      </c>
      <c r="G53" s="25">
        <v>3.0</v>
      </c>
      <c r="H53" s="14">
        <v>40.0</v>
      </c>
      <c r="I53" s="2"/>
    </row>
    <row r="54">
      <c r="A54" s="81">
        <v>45928.0</v>
      </c>
      <c r="B54" s="14" t="s">
        <v>38</v>
      </c>
      <c r="C54" s="15" t="s">
        <v>11</v>
      </c>
      <c r="D54" s="16" t="s">
        <v>52</v>
      </c>
      <c r="E54" s="24">
        <v>1228014.0</v>
      </c>
      <c r="F54" s="25">
        <v>188.0</v>
      </c>
      <c r="G54" s="25">
        <v>63.0</v>
      </c>
      <c r="H54" s="14">
        <v>56.0</v>
      </c>
      <c r="I54" s="2"/>
    </row>
    <row r="55">
      <c r="A55" s="21"/>
      <c r="B55" s="78" t="s">
        <v>59</v>
      </c>
      <c r="C55" s="15" t="s">
        <v>11</v>
      </c>
      <c r="D55" s="16" t="s">
        <v>60</v>
      </c>
      <c r="E55" s="24">
        <v>618820.0</v>
      </c>
      <c r="F55" s="25">
        <v>196.0</v>
      </c>
      <c r="G55" s="25">
        <v>38.0</v>
      </c>
      <c r="H55" s="14">
        <v>36.0</v>
      </c>
      <c r="I55" s="2"/>
    </row>
    <row r="56">
      <c r="A56" s="81">
        <v>45929.0</v>
      </c>
      <c r="B56" s="14" t="s">
        <v>38</v>
      </c>
      <c r="C56" s="15" t="s">
        <v>11</v>
      </c>
      <c r="D56" s="16" t="s">
        <v>52</v>
      </c>
      <c r="E56" s="24">
        <v>958691.0</v>
      </c>
      <c r="F56" s="25">
        <v>127.0</v>
      </c>
      <c r="G56" s="25">
        <v>32.0</v>
      </c>
      <c r="H56" s="14">
        <v>48.0</v>
      </c>
      <c r="I56" s="2"/>
    </row>
    <row r="57">
      <c r="A57" s="21"/>
      <c r="B57" s="78" t="s">
        <v>59</v>
      </c>
      <c r="C57" s="15" t="s">
        <v>11</v>
      </c>
      <c r="D57" s="16" t="s">
        <v>60</v>
      </c>
      <c r="E57" s="24">
        <v>0.0</v>
      </c>
      <c r="F57" s="25">
        <v>176.0</v>
      </c>
      <c r="G57" s="25">
        <v>45.0</v>
      </c>
      <c r="H57" s="14">
        <v>44.0</v>
      </c>
      <c r="I57" s="2"/>
    </row>
    <row r="58">
      <c r="A58" s="81">
        <v>45930.0</v>
      </c>
      <c r="B58" s="14" t="s">
        <v>38</v>
      </c>
      <c r="C58" s="15" t="s">
        <v>11</v>
      </c>
      <c r="D58" s="16" t="s">
        <v>52</v>
      </c>
      <c r="E58" s="24">
        <v>304097.0</v>
      </c>
      <c r="F58" s="25">
        <v>120.0</v>
      </c>
      <c r="G58" s="25">
        <v>120.0</v>
      </c>
      <c r="H58" s="14">
        <v>40.0</v>
      </c>
      <c r="I58" s="2"/>
    </row>
    <row r="59">
      <c r="A59" s="21"/>
      <c r="B59" s="78" t="s">
        <v>59</v>
      </c>
      <c r="C59" s="15" t="s">
        <v>11</v>
      </c>
      <c r="D59" s="16" t="s">
        <v>60</v>
      </c>
      <c r="E59" s="24">
        <v>865122.0</v>
      </c>
      <c r="F59" s="25">
        <v>206.0</v>
      </c>
      <c r="G59" s="25">
        <v>70.0</v>
      </c>
      <c r="H59" s="14">
        <v>38.0</v>
      </c>
      <c r="I59" s="2"/>
    </row>
    <row r="60">
      <c r="A60" s="33" t="s">
        <v>65</v>
      </c>
      <c r="B60" s="14" t="s">
        <v>38</v>
      </c>
      <c r="C60" s="15" t="s">
        <v>11</v>
      </c>
      <c r="D60" s="16" t="s">
        <v>52</v>
      </c>
      <c r="E60" s="24">
        <v>0.0</v>
      </c>
      <c r="F60" s="25">
        <v>148.0</v>
      </c>
      <c r="G60" s="25">
        <v>128.0</v>
      </c>
      <c r="H60" s="14">
        <v>52.0</v>
      </c>
      <c r="I60" s="2"/>
    </row>
    <row r="61">
      <c r="A61" s="33"/>
      <c r="B61" s="78" t="s">
        <v>59</v>
      </c>
      <c r="C61" s="16" t="s">
        <v>11</v>
      </c>
      <c r="D61" s="16" t="s">
        <v>60</v>
      </c>
      <c r="E61" s="24">
        <v>618320.0</v>
      </c>
      <c r="F61" s="25">
        <v>192.0</v>
      </c>
      <c r="G61" s="25">
        <v>3.0</v>
      </c>
      <c r="H61" s="14">
        <v>26.0</v>
      </c>
      <c r="I61" s="2"/>
    </row>
    <row r="62">
      <c r="A62" s="77">
        <v>45932.0</v>
      </c>
      <c r="B62" s="14" t="s">
        <v>38</v>
      </c>
      <c r="C62" s="16" t="s">
        <v>11</v>
      </c>
      <c r="D62" s="16" t="s">
        <v>52</v>
      </c>
      <c r="E62" s="24">
        <v>0.0</v>
      </c>
      <c r="F62" s="25">
        <v>119.0</v>
      </c>
      <c r="G62" s="25">
        <v>24.0</v>
      </c>
      <c r="H62" s="14">
        <v>30.0</v>
      </c>
      <c r="I62" s="2"/>
    </row>
    <row r="63">
      <c r="A63" s="79"/>
      <c r="B63" s="78" t="s">
        <v>59</v>
      </c>
      <c r="C63" s="89" t="s">
        <v>11</v>
      </c>
      <c r="D63" s="16" t="s">
        <v>60</v>
      </c>
      <c r="E63" s="24">
        <v>389647.0</v>
      </c>
      <c r="F63" s="25">
        <v>195.0</v>
      </c>
      <c r="G63" s="25">
        <v>38.0</v>
      </c>
      <c r="H63" s="14">
        <v>27.0</v>
      </c>
      <c r="I63" s="2"/>
    </row>
    <row r="64">
      <c r="A64" s="77">
        <v>45933.0</v>
      </c>
      <c r="B64" s="14" t="s">
        <v>38</v>
      </c>
      <c r="C64" s="89" t="s">
        <v>11</v>
      </c>
      <c r="D64" s="16" t="s">
        <v>52</v>
      </c>
      <c r="E64" s="69">
        <v>0.0</v>
      </c>
      <c r="F64" s="14">
        <v>103.0</v>
      </c>
      <c r="G64" s="14">
        <v>35.0</v>
      </c>
      <c r="H64" s="14">
        <v>12.0</v>
      </c>
      <c r="I64" s="2"/>
    </row>
    <row r="65">
      <c r="A65" s="79"/>
      <c r="B65" s="78" t="s">
        <v>59</v>
      </c>
      <c r="C65" s="89" t="s">
        <v>11</v>
      </c>
      <c r="D65" s="16" t="s">
        <v>60</v>
      </c>
      <c r="E65" s="69">
        <v>0.0</v>
      </c>
      <c r="F65" s="14">
        <v>191.0</v>
      </c>
      <c r="G65" s="14">
        <v>12.0</v>
      </c>
      <c r="H65" s="14">
        <v>24.0</v>
      </c>
      <c r="I65" s="2"/>
    </row>
    <row r="66">
      <c r="A66" s="90">
        <v>45934.0</v>
      </c>
      <c r="B66" s="91" t="s">
        <v>59</v>
      </c>
      <c r="C66" s="89" t="s">
        <v>11</v>
      </c>
      <c r="D66" s="16" t="s">
        <v>52</v>
      </c>
      <c r="E66" s="69">
        <v>0.0</v>
      </c>
      <c r="F66" s="14">
        <v>171.0</v>
      </c>
      <c r="G66" s="14">
        <v>120.0</v>
      </c>
      <c r="H66" s="14">
        <v>14.0</v>
      </c>
      <c r="I66" s="2"/>
    </row>
    <row r="67">
      <c r="H67" s="2"/>
      <c r="I67" s="2"/>
    </row>
    <row r="68">
      <c r="H68" s="2"/>
      <c r="I68" s="2"/>
    </row>
    <row r="69">
      <c r="D69" s="57" t="s">
        <v>31</v>
      </c>
      <c r="H69" s="2"/>
      <c r="I69" s="2"/>
    </row>
    <row r="70">
      <c r="D70" s="66" t="s">
        <v>60</v>
      </c>
      <c r="E70" s="58" t="s">
        <v>44</v>
      </c>
      <c r="H70" s="2"/>
      <c r="I70" s="2"/>
    </row>
    <row r="71">
      <c r="C71" s="58"/>
      <c r="D71" s="58" t="s">
        <v>52</v>
      </c>
      <c r="E71" s="58" t="s">
        <v>66</v>
      </c>
      <c r="H71" s="2"/>
      <c r="I71" s="2"/>
    </row>
    <row r="72">
      <c r="H72" s="2"/>
      <c r="I72" s="2"/>
    </row>
    <row r="73">
      <c r="D73" s="58"/>
      <c r="H73" s="2"/>
      <c r="I73" s="2"/>
    </row>
    <row r="74">
      <c r="D74" s="58"/>
      <c r="E74" s="58"/>
      <c r="H74" s="2"/>
      <c r="I74" s="2"/>
    </row>
    <row r="75">
      <c r="D75" s="58"/>
      <c r="E75" s="58"/>
      <c r="H75" s="2"/>
      <c r="I75" s="2"/>
    </row>
    <row r="76">
      <c r="H76" s="2"/>
      <c r="I76" s="2"/>
    </row>
    <row r="77">
      <c r="H77" s="2"/>
      <c r="I77" s="2"/>
    </row>
    <row r="78">
      <c r="H78" s="2"/>
      <c r="I78" s="2"/>
    </row>
    <row r="79">
      <c r="H79" s="2"/>
      <c r="I79" s="2"/>
    </row>
    <row r="80">
      <c r="H80" s="2"/>
      <c r="I80" s="2"/>
    </row>
  </sheetData>
  <mergeCells count="22">
    <mergeCell ref="A7:A8"/>
    <mergeCell ref="A9:A10"/>
    <mergeCell ref="A11:A12"/>
    <mergeCell ref="A13:A14"/>
    <mergeCell ref="A15:A17"/>
    <mergeCell ref="A18:A20"/>
    <mergeCell ref="A21:A22"/>
    <mergeCell ref="A46:A48"/>
    <mergeCell ref="A49:A50"/>
    <mergeCell ref="A52:A53"/>
    <mergeCell ref="A54:A55"/>
    <mergeCell ref="A56:A57"/>
    <mergeCell ref="A58:A59"/>
    <mergeCell ref="A62:A63"/>
    <mergeCell ref="A64:A65"/>
    <mergeCell ref="A23:A24"/>
    <mergeCell ref="A27:A28"/>
    <mergeCell ref="A29:A30"/>
    <mergeCell ref="A35:A36"/>
    <mergeCell ref="A37:A38"/>
    <mergeCell ref="A42:A43"/>
    <mergeCell ref="A44:A4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</cols>
  <sheetData>
    <row r="2">
      <c r="A2" s="3" t="s">
        <v>0</v>
      </c>
      <c r="B2" s="4"/>
      <c r="C2" s="5"/>
    </row>
    <row r="3">
      <c r="A3" s="6"/>
      <c r="B3" s="7"/>
      <c r="C3" s="8"/>
    </row>
    <row r="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10" t="s">
        <v>6</v>
      </c>
      <c r="G5" s="9" t="s">
        <v>7</v>
      </c>
      <c r="H5" s="9" t="s">
        <v>8</v>
      </c>
      <c r="I5" s="11"/>
    </row>
    <row r="6">
      <c r="A6" s="12">
        <f t="shared" ref="A6:A59" si="1">ROW(A1)</f>
        <v>1</v>
      </c>
      <c r="B6" s="33" t="s">
        <v>67</v>
      </c>
      <c r="C6" s="14" t="s">
        <v>59</v>
      </c>
      <c r="D6" s="16" t="s">
        <v>11</v>
      </c>
      <c r="E6" s="16" t="s">
        <v>52</v>
      </c>
      <c r="F6" s="24">
        <v>0.0</v>
      </c>
      <c r="G6" s="25">
        <v>270.0</v>
      </c>
      <c r="H6" s="18">
        <v>33.0</v>
      </c>
      <c r="I6" s="12"/>
    </row>
    <row r="7">
      <c r="A7" s="12">
        <f t="shared" si="1"/>
        <v>2</v>
      </c>
      <c r="B7" s="92" t="s">
        <v>68</v>
      </c>
      <c r="C7" s="14" t="s">
        <v>38</v>
      </c>
      <c r="D7" s="16" t="s">
        <v>11</v>
      </c>
      <c r="E7" s="16" t="s">
        <v>16</v>
      </c>
      <c r="F7" s="24">
        <v>0.0</v>
      </c>
      <c r="G7" s="25">
        <v>93.0</v>
      </c>
      <c r="H7" s="18">
        <v>10.0</v>
      </c>
      <c r="I7" s="12"/>
    </row>
    <row r="8">
      <c r="A8" s="12">
        <f t="shared" si="1"/>
        <v>3</v>
      </c>
      <c r="B8" s="20"/>
      <c r="C8" s="14" t="s">
        <v>59</v>
      </c>
      <c r="D8" s="16" t="s">
        <v>11</v>
      </c>
      <c r="E8" s="16" t="s">
        <v>52</v>
      </c>
      <c r="F8" s="24">
        <v>622609.0</v>
      </c>
      <c r="G8" s="25">
        <v>253.0</v>
      </c>
      <c r="H8" s="18">
        <v>38.0</v>
      </c>
      <c r="I8" s="12"/>
    </row>
    <row r="9">
      <c r="A9" s="12">
        <f t="shared" si="1"/>
        <v>4</v>
      </c>
      <c r="B9" s="33" t="s">
        <v>69</v>
      </c>
      <c r="C9" s="14" t="s">
        <v>38</v>
      </c>
      <c r="D9" s="16" t="s">
        <v>11</v>
      </c>
      <c r="E9" s="16" t="s">
        <v>16</v>
      </c>
      <c r="F9" s="24">
        <v>663114.0</v>
      </c>
      <c r="G9" s="25">
        <v>86.0</v>
      </c>
      <c r="H9" s="18">
        <v>24.0</v>
      </c>
      <c r="I9" s="12"/>
    </row>
    <row r="10">
      <c r="A10" s="12">
        <f t="shared" si="1"/>
        <v>5</v>
      </c>
      <c r="B10" s="21"/>
      <c r="C10" s="14" t="s">
        <v>59</v>
      </c>
      <c r="D10" s="16" t="s">
        <v>11</v>
      </c>
      <c r="E10" s="16" t="s">
        <v>52</v>
      </c>
      <c r="F10" s="24">
        <v>0.0</v>
      </c>
      <c r="G10" s="25">
        <v>207.0</v>
      </c>
      <c r="H10" s="18">
        <v>19.0</v>
      </c>
      <c r="I10" s="12"/>
    </row>
    <row r="11">
      <c r="A11" s="12">
        <f t="shared" si="1"/>
        <v>6</v>
      </c>
      <c r="B11" s="92" t="s">
        <v>70</v>
      </c>
      <c r="C11" s="14" t="s">
        <v>38</v>
      </c>
      <c r="D11" s="16" t="s">
        <v>11</v>
      </c>
      <c r="E11" s="16" t="s">
        <v>16</v>
      </c>
      <c r="F11" s="24">
        <v>0.0</v>
      </c>
      <c r="G11" s="25">
        <v>103.0</v>
      </c>
      <c r="H11" s="18">
        <v>13.0</v>
      </c>
      <c r="I11" s="12"/>
    </row>
    <row r="12">
      <c r="A12" s="12">
        <f t="shared" si="1"/>
        <v>7</v>
      </c>
      <c r="B12" s="20"/>
      <c r="C12" s="14" t="s">
        <v>59</v>
      </c>
      <c r="D12" s="15" t="s">
        <v>11</v>
      </c>
      <c r="E12" s="16" t="s">
        <v>52</v>
      </c>
      <c r="F12" s="17">
        <v>419179.0</v>
      </c>
      <c r="G12" s="18">
        <v>212.0</v>
      </c>
      <c r="H12" s="18">
        <v>26.0</v>
      </c>
      <c r="I12" s="12"/>
    </row>
    <row r="13">
      <c r="A13" s="12">
        <f t="shared" si="1"/>
        <v>8</v>
      </c>
      <c r="B13" s="33" t="s">
        <v>71</v>
      </c>
      <c r="C13" s="14" t="s">
        <v>38</v>
      </c>
      <c r="D13" s="15" t="s">
        <v>11</v>
      </c>
      <c r="E13" s="16" t="s">
        <v>16</v>
      </c>
      <c r="F13" s="17">
        <v>403636.0</v>
      </c>
      <c r="G13" s="18">
        <v>165.0</v>
      </c>
      <c r="H13" s="18">
        <v>22.0</v>
      </c>
      <c r="I13" s="12"/>
    </row>
    <row r="14">
      <c r="A14" s="12">
        <f t="shared" si="1"/>
        <v>9</v>
      </c>
      <c r="B14" s="21"/>
      <c r="C14" s="14" t="s">
        <v>39</v>
      </c>
      <c r="D14" s="15" t="s">
        <v>11</v>
      </c>
      <c r="E14" s="16" t="s">
        <v>16</v>
      </c>
      <c r="F14" s="17">
        <v>729858.0</v>
      </c>
      <c r="G14" s="18">
        <v>118.0</v>
      </c>
      <c r="H14" s="18">
        <v>39.0</v>
      </c>
      <c r="I14" s="12"/>
    </row>
    <row r="15">
      <c r="A15" s="12">
        <f t="shared" si="1"/>
        <v>10</v>
      </c>
      <c r="B15" s="21"/>
      <c r="C15" s="14" t="s">
        <v>59</v>
      </c>
      <c r="D15" s="15" t="s">
        <v>11</v>
      </c>
      <c r="E15" s="16" t="s">
        <v>52</v>
      </c>
      <c r="F15" s="17">
        <v>1626228.0</v>
      </c>
      <c r="G15" s="18">
        <v>219.0</v>
      </c>
      <c r="H15" s="18">
        <v>42.0</v>
      </c>
      <c r="I15" s="12"/>
    </row>
    <row r="16">
      <c r="A16" s="12">
        <f t="shared" si="1"/>
        <v>11</v>
      </c>
      <c r="B16" s="33" t="s">
        <v>72</v>
      </c>
      <c r="C16" s="14" t="s">
        <v>38</v>
      </c>
      <c r="D16" s="15" t="s">
        <v>11</v>
      </c>
      <c r="E16" s="16" t="s">
        <v>16</v>
      </c>
      <c r="F16" s="17">
        <v>329438.0</v>
      </c>
      <c r="G16" s="18">
        <v>121.0</v>
      </c>
      <c r="H16" s="18">
        <v>11.0</v>
      </c>
      <c r="I16" s="12"/>
    </row>
    <row r="17">
      <c r="A17" s="12">
        <f t="shared" si="1"/>
        <v>12</v>
      </c>
      <c r="B17" s="21"/>
      <c r="C17" s="14" t="s">
        <v>39</v>
      </c>
      <c r="D17" s="15" t="s">
        <v>11</v>
      </c>
      <c r="E17" s="16" t="s">
        <v>52</v>
      </c>
      <c r="F17" s="17">
        <v>0.0</v>
      </c>
      <c r="G17" s="18">
        <v>155.0</v>
      </c>
      <c r="H17" s="18">
        <v>26.0</v>
      </c>
      <c r="I17" s="12"/>
    </row>
    <row r="18">
      <c r="A18" s="12">
        <f t="shared" si="1"/>
        <v>13</v>
      </c>
      <c r="B18" s="21"/>
      <c r="C18" s="14" t="s">
        <v>59</v>
      </c>
      <c r="D18" s="16" t="s">
        <v>11</v>
      </c>
      <c r="E18" s="16" t="s">
        <v>52</v>
      </c>
      <c r="F18" s="17">
        <v>266365.0</v>
      </c>
      <c r="G18" s="18">
        <v>311.0</v>
      </c>
      <c r="H18" s="18">
        <v>6.0</v>
      </c>
      <c r="I18" s="12"/>
    </row>
    <row r="19">
      <c r="A19" s="12">
        <f t="shared" si="1"/>
        <v>14</v>
      </c>
      <c r="B19" s="33" t="s">
        <v>73</v>
      </c>
      <c r="C19" s="14" t="s">
        <v>38</v>
      </c>
      <c r="D19" s="16" t="s">
        <v>11</v>
      </c>
      <c r="E19" s="16" t="s">
        <v>16</v>
      </c>
      <c r="F19" s="17">
        <v>245711.0</v>
      </c>
      <c r="G19" s="18">
        <v>308.0</v>
      </c>
      <c r="H19" s="60">
        <v>18.0</v>
      </c>
      <c r="I19" s="12"/>
    </row>
    <row r="20">
      <c r="A20" s="12">
        <f t="shared" si="1"/>
        <v>15</v>
      </c>
      <c r="B20" s="21"/>
      <c r="C20" s="14" t="s">
        <v>59</v>
      </c>
      <c r="D20" s="16" t="s">
        <v>11</v>
      </c>
      <c r="E20" s="16" t="s">
        <v>52</v>
      </c>
      <c r="F20" s="17">
        <v>0.0</v>
      </c>
      <c r="G20" s="18">
        <v>291.0</v>
      </c>
      <c r="H20" s="18">
        <v>13.0</v>
      </c>
      <c r="I20" s="12"/>
    </row>
    <row r="21">
      <c r="A21" s="12">
        <f t="shared" si="1"/>
        <v>16</v>
      </c>
      <c r="B21" s="33" t="s">
        <v>74</v>
      </c>
      <c r="C21" s="14" t="s">
        <v>38</v>
      </c>
      <c r="D21" s="16" t="s">
        <v>11</v>
      </c>
      <c r="E21" s="16" t="s">
        <v>16</v>
      </c>
      <c r="F21" s="24">
        <v>684928.0</v>
      </c>
      <c r="G21" s="25">
        <v>123.0</v>
      </c>
      <c r="H21" s="25">
        <v>46.0</v>
      </c>
      <c r="I21" s="12"/>
    </row>
    <row r="22">
      <c r="A22" s="12">
        <f t="shared" si="1"/>
        <v>17</v>
      </c>
      <c r="B22" s="21"/>
      <c r="C22" s="14" t="s">
        <v>59</v>
      </c>
      <c r="D22" s="16" t="s">
        <v>11</v>
      </c>
      <c r="E22" s="16" t="s">
        <v>52</v>
      </c>
      <c r="F22" s="24">
        <v>0.0</v>
      </c>
      <c r="G22" s="25">
        <v>147.0</v>
      </c>
      <c r="H22" s="25">
        <v>12.0</v>
      </c>
      <c r="I22" s="12"/>
    </row>
    <row r="23">
      <c r="A23" s="12">
        <f t="shared" si="1"/>
        <v>18</v>
      </c>
      <c r="B23" s="33" t="s">
        <v>75</v>
      </c>
      <c r="C23" s="14" t="s">
        <v>38</v>
      </c>
      <c r="D23" s="16" t="s">
        <v>11</v>
      </c>
      <c r="E23" s="16" t="s">
        <v>16</v>
      </c>
      <c r="F23" s="24">
        <v>0.0</v>
      </c>
      <c r="G23" s="25">
        <v>93.0</v>
      </c>
      <c r="H23" s="25">
        <v>8.0</v>
      </c>
      <c r="I23" s="12"/>
    </row>
    <row r="24">
      <c r="A24" s="12">
        <f t="shared" si="1"/>
        <v>19</v>
      </c>
      <c r="B24" s="21"/>
      <c r="C24" s="14" t="s">
        <v>59</v>
      </c>
      <c r="D24" s="15" t="s">
        <v>11</v>
      </c>
      <c r="E24" s="16" t="s">
        <v>52</v>
      </c>
      <c r="F24" s="24">
        <v>0.0</v>
      </c>
      <c r="G24" s="25">
        <v>139.0</v>
      </c>
      <c r="H24" s="25">
        <v>8.0</v>
      </c>
      <c r="I24" s="27"/>
    </row>
    <row r="25">
      <c r="A25" s="12">
        <f t="shared" si="1"/>
        <v>20</v>
      </c>
      <c r="B25" s="33" t="s">
        <v>76</v>
      </c>
      <c r="C25" s="14" t="s">
        <v>38</v>
      </c>
      <c r="D25" s="15" t="s">
        <v>11</v>
      </c>
      <c r="E25" s="16" t="s">
        <v>16</v>
      </c>
      <c r="F25" s="24">
        <v>833312.0</v>
      </c>
      <c r="G25" s="25">
        <v>61.0</v>
      </c>
      <c r="H25" s="25">
        <v>13.0</v>
      </c>
      <c r="I25" s="27"/>
    </row>
    <row r="26">
      <c r="A26" s="12">
        <f t="shared" si="1"/>
        <v>21</v>
      </c>
      <c r="B26" s="21"/>
      <c r="C26" s="14" t="s">
        <v>59</v>
      </c>
      <c r="D26" s="15" t="s">
        <v>11</v>
      </c>
      <c r="E26" s="16" t="s">
        <v>52</v>
      </c>
      <c r="F26" s="24">
        <v>220520.0</v>
      </c>
      <c r="G26" s="25">
        <v>125.0</v>
      </c>
      <c r="H26" s="25">
        <v>3.0</v>
      </c>
      <c r="I26" s="27"/>
    </row>
    <row r="27">
      <c r="A27" s="12">
        <f t="shared" si="1"/>
        <v>22</v>
      </c>
      <c r="B27" s="33" t="s">
        <v>77</v>
      </c>
      <c r="C27" s="14" t="s">
        <v>38</v>
      </c>
      <c r="D27" s="15" t="s">
        <v>11</v>
      </c>
      <c r="E27" s="16" t="s">
        <v>16</v>
      </c>
      <c r="F27" s="24">
        <v>0.0</v>
      </c>
      <c r="G27" s="25">
        <v>73.0</v>
      </c>
      <c r="H27" s="25">
        <v>2.0</v>
      </c>
      <c r="I27" s="27"/>
    </row>
    <row r="28">
      <c r="A28" s="12">
        <f t="shared" si="1"/>
        <v>23</v>
      </c>
      <c r="B28" s="21"/>
      <c r="C28" s="14" t="s">
        <v>59</v>
      </c>
      <c r="D28" s="15" t="s">
        <v>11</v>
      </c>
      <c r="E28" s="16" t="s">
        <v>52</v>
      </c>
      <c r="F28" s="24">
        <v>0.0</v>
      </c>
      <c r="G28" s="25">
        <v>151.0</v>
      </c>
      <c r="H28" s="25">
        <v>2.0</v>
      </c>
      <c r="I28" s="27"/>
    </row>
    <row r="29">
      <c r="A29" s="12">
        <f t="shared" si="1"/>
        <v>24</v>
      </c>
      <c r="B29" s="33" t="s">
        <v>78</v>
      </c>
      <c r="C29" s="14" t="s">
        <v>38</v>
      </c>
      <c r="D29" s="15" t="s">
        <v>11</v>
      </c>
      <c r="E29" s="16" t="s">
        <v>16</v>
      </c>
      <c r="F29" s="24">
        <v>0.0</v>
      </c>
      <c r="G29" s="25">
        <v>61.0</v>
      </c>
      <c r="H29" s="25">
        <v>4.0</v>
      </c>
      <c r="I29" s="27"/>
    </row>
    <row r="30">
      <c r="A30" s="12">
        <f t="shared" si="1"/>
        <v>25</v>
      </c>
      <c r="B30" s="21"/>
      <c r="C30" s="14" t="s">
        <v>59</v>
      </c>
      <c r="D30" s="15" t="s">
        <v>11</v>
      </c>
      <c r="E30" s="16" t="s">
        <v>52</v>
      </c>
      <c r="F30" s="24">
        <v>164320.0</v>
      </c>
      <c r="G30" s="25">
        <v>138.0</v>
      </c>
      <c r="H30" s="25">
        <v>9.0</v>
      </c>
      <c r="I30" s="27"/>
    </row>
    <row r="31">
      <c r="A31" s="12">
        <f t="shared" si="1"/>
        <v>26</v>
      </c>
      <c r="B31" s="92" t="s">
        <v>79</v>
      </c>
      <c r="C31" s="14" t="s">
        <v>59</v>
      </c>
      <c r="D31" s="15" t="s">
        <v>11</v>
      </c>
      <c r="E31" s="16" t="s">
        <v>52</v>
      </c>
      <c r="F31" s="24">
        <v>164520.0</v>
      </c>
      <c r="G31" s="25">
        <v>197.0</v>
      </c>
      <c r="H31" s="25">
        <v>20.0</v>
      </c>
      <c r="I31" s="27"/>
    </row>
    <row r="32">
      <c r="A32" s="12">
        <f t="shared" si="1"/>
        <v>27</v>
      </c>
      <c r="B32" s="92" t="s">
        <v>80</v>
      </c>
      <c r="C32" s="14" t="s">
        <v>59</v>
      </c>
      <c r="D32" s="15" t="s">
        <v>11</v>
      </c>
      <c r="E32" s="16" t="s">
        <v>52</v>
      </c>
      <c r="F32" s="24">
        <v>0.0</v>
      </c>
      <c r="G32" s="25">
        <v>214.0</v>
      </c>
      <c r="H32" s="25">
        <v>5.0</v>
      </c>
      <c r="I32" s="27"/>
    </row>
    <row r="33">
      <c r="A33" s="12">
        <f t="shared" si="1"/>
        <v>28</v>
      </c>
      <c r="B33" s="92" t="s">
        <v>81</v>
      </c>
      <c r="C33" s="14" t="s">
        <v>38</v>
      </c>
      <c r="D33" s="15" t="s">
        <v>11</v>
      </c>
      <c r="E33" s="16" t="s">
        <v>16</v>
      </c>
      <c r="F33" s="24">
        <v>805300.0</v>
      </c>
      <c r="G33" s="25">
        <v>69.0</v>
      </c>
      <c r="H33" s="25">
        <v>10.0</v>
      </c>
      <c r="I33" s="27"/>
    </row>
    <row r="34">
      <c r="A34" s="12">
        <f t="shared" si="1"/>
        <v>29</v>
      </c>
      <c r="B34" s="21"/>
      <c r="C34" s="14" t="s">
        <v>59</v>
      </c>
      <c r="D34" s="15" t="s">
        <v>11</v>
      </c>
      <c r="E34" s="16" t="s">
        <v>52</v>
      </c>
      <c r="F34" s="24">
        <v>0.0</v>
      </c>
      <c r="G34" s="25">
        <v>186.0</v>
      </c>
      <c r="H34" s="25">
        <v>19.0</v>
      </c>
      <c r="I34" s="27"/>
    </row>
    <row r="35">
      <c r="A35" s="12">
        <f t="shared" si="1"/>
        <v>30</v>
      </c>
      <c r="B35" s="33" t="s">
        <v>82</v>
      </c>
      <c r="C35" s="70" t="s">
        <v>38</v>
      </c>
      <c r="D35" s="15" t="s">
        <v>11</v>
      </c>
      <c r="E35" s="16" t="s">
        <v>16</v>
      </c>
      <c r="F35" s="24">
        <v>0.0</v>
      </c>
      <c r="G35" s="25">
        <v>62.0</v>
      </c>
      <c r="H35" s="25">
        <v>4.0</v>
      </c>
      <c r="I35" s="27"/>
    </row>
    <row r="36">
      <c r="A36" s="12">
        <f t="shared" si="1"/>
        <v>31</v>
      </c>
      <c r="B36" s="21"/>
      <c r="C36" s="70" t="s">
        <v>59</v>
      </c>
      <c r="D36" s="15" t="s">
        <v>11</v>
      </c>
      <c r="E36" s="16" t="s">
        <v>52</v>
      </c>
      <c r="F36" s="24">
        <v>0.0</v>
      </c>
      <c r="G36" s="25">
        <v>95.0</v>
      </c>
      <c r="H36" s="25">
        <v>9.0</v>
      </c>
      <c r="I36" s="27"/>
    </row>
    <row r="37">
      <c r="A37" s="12">
        <f t="shared" si="1"/>
        <v>32</v>
      </c>
      <c r="B37" s="33" t="s">
        <v>83</v>
      </c>
      <c r="C37" s="70" t="s">
        <v>38</v>
      </c>
      <c r="D37" s="15" t="s">
        <v>11</v>
      </c>
      <c r="E37" s="16" t="s">
        <v>16</v>
      </c>
      <c r="F37" s="24">
        <v>217838.0</v>
      </c>
      <c r="G37" s="25">
        <v>44.0</v>
      </c>
      <c r="H37" s="25">
        <v>1.0</v>
      </c>
      <c r="I37" s="27"/>
    </row>
    <row r="38">
      <c r="A38" s="12">
        <f t="shared" si="1"/>
        <v>33</v>
      </c>
      <c r="B38" s="21"/>
      <c r="C38" s="70" t="s">
        <v>59</v>
      </c>
      <c r="D38" s="15" t="s">
        <v>11</v>
      </c>
      <c r="E38" s="16" t="s">
        <v>52</v>
      </c>
      <c r="F38" s="24">
        <v>0.0</v>
      </c>
      <c r="G38" s="25">
        <v>130.0</v>
      </c>
      <c r="H38" s="25">
        <v>9.0</v>
      </c>
      <c r="I38" s="27"/>
    </row>
    <row r="39">
      <c r="A39" s="12">
        <f t="shared" si="1"/>
        <v>34</v>
      </c>
      <c r="B39" s="33" t="s">
        <v>84</v>
      </c>
      <c r="C39" s="70" t="s">
        <v>38</v>
      </c>
      <c r="D39" s="15" t="s">
        <v>11</v>
      </c>
      <c r="E39" s="16" t="s">
        <v>16</v>
      </c>
      <c r="F39" s="24">
        <v>220628.0</v>
      </c>
      <c r="G39" s="25">
        <v>68.0</v>
      </c>
      <c r="H39" s="25">
        <v>19.0</v>
      </c>
      <c r="I39" s="27"/>
    </row>
    <row r="40">
      <c r="A40" s="12">
        <f t="shared" si="1"/>
        <v>35</v>
      </c>
      <c r="B40" s="21"/>
      <c r="C40" s="70" t="s">
        <v>59</v>
      </c>
      <c r="D40" s="15" t="s">
        <v>11</v>
      </c>
      <c r="E40" s="16" t="s">
        <v>52</v>
      </c>
      <c r="F40" s="24">
        <v>533320.0</v>
      </c>
      <c r="G40" s="25">
        <v>44.0</v>
      </c>
      <c r="H40" s="25">
        <v>20.0</v>
      </c>
      <c r="I40" s="27"/>
    </row>
    <row r="41">
      <c r="A41" s="12">
        <f t="shared" si="1"/>
        <v>36</v>
      </c>
      <c r="B41" s="33" t="s">
        <v>85</v>
      </c>
      <c r="C41" s="70" t="s">
        <v>38</v>
      </c>
      <c r="D41" s="15" t="s">
        <v>11</v>
      </c>
      <c r="E41" s="16" t="s">
        <v>16</v>
      </c>
      <c r="F41" s="24">
        <v>1.170186E7</v>
      </c>
      <c r="G41" s="25">
        <v>154.0</v>
      </c>
      <c r="H41" s="25">
        <v>63.0</v>
      </c>
      <c r="I41" s="27"/>
    </row>
    <row r="42">
      <c r="A42" s="12">
        <f t="shared" si="1"/>
        <v>37</v>
      </c>
      <c r="B42" s="21"/>
      <c r="C42" s="70" t="s">
        <v>59</v>
      </c>
      <c r="D42" s="15" t="s">
        <v>11</v>
      </c>
      <c r="E42" s="16" t="s">
        <v>52</v>
      </c>
      <c r="F42" s="24">
        <v>7129284.0</v>
      </c>
      <c r="G42" s="25">
        <v>205.0</v>
      </c>
      <c r="H42" s="25">
        <v>124.0</v>
      </c>
      <c r="I42" s="27"/>
    </row>
    <row r="43">
      <c r="A43" s="12">
        <f t="shared" si="1"/>
        <v>38</v>
      </c>
      <c r="B43" s="33" t="s">
        <v>86</v>
      </c>
      <c r="C43" s="14" t="s">
        <v>59</v>
      </c>
      <c r="D43" s="15" t="s">
        <v>11</v>
      </c>
      <c r="E43" s="16" t="s">
        <v>52</v>
      </c>
      <c r="F43" s="24">
        <v>4.2403288E7</v>
      </c>
      <c r="G43" s="25">
        <v>244.0</v>
      </c>
      <c r="H43" s="25">
        <v>18.0</v>
      </c>
      <c r="I43" s="27"/>
    </row>
    <row r="44">
      <c r="A44" s="12">
        <f t="shared" si="1"/>
        <v>39</v>
      </c>
      <c r="B44" s="33" t="s">
        <v>87</v>
      </c>
      <c r="C44" s="14" t="s">
        <v>59</v>
      </c>
      <c r="D44" s="15" t="s">
        <v>11</v>
      </c>
      <c r="E44" s="16" t="s">
        <v>52</v>
      </c>
      <c r="F44" s="24">
        <v>2626420.0</v>
      </c>
      <c r="G44" s="25">
        <v>241.0</v>
      </c>
      <c r="H44" s="25">
        <v>29.0</v>
      </c>
      <c r="I44" s="27"/>
    </row>
    <row r="45">
      <c r="A45" s="12">
        <f t="shared" si="1"/>
        <v>40</v>
      </c>
      <c r="B45" s="33" t="s">
        <v>88</v>
      </c>
      <c r="C45" s="14" t="s">
        <v>38</v>
      </c>
      <c r="D45" s="15" t="s">
        <v>11</v>
      </c>
      <c r="E45" s="16" t="s">
        <v>16</v>
      </c>
      <c r="F45" s="24">
        <v>2127984.0</v>
      </c>
      <c r="G45" s="25">
        <v>122.0</v>
      </c>
      <c r="H45" s="62">
        <v>26.0</v>
      </c>
      <c r="I45" s="27"/>
    </row>
    <row r="46">
      <c r="A46" s="12">
        <f t="shared" si="1"/>
        <v>41</v>
      </c>
      <c r="B46" s="21"/>
      <c r="C46" s="14" t="s">
        <v>39</v>
      </c>
      <c r="D46" s="15" t="s">
        <v>11</v>
      </c>
      <c r="E46" s="16" t="s">
        <v>89</v>
      </c>
      <c r="F46" s="24">
        <v>2.4018184E7</v>
      </c>
      <c r="G46" s="25">
        <v>166.0</v>
      </c>
      <c r="H46" s="25">
        <v>17.0</v>
      </c>
      <c r="I46" s="27"/>
    </row>
    <row r="47">
      <c r="A47" s="12">
        <f t="shared" si="1"/>
        <v>42</v>
      </c>
      <c r="B47" s="21"/>
      <c r="C47" s="14" t="s">
        <v>59</v>
      </c>
      <c r="D47" s="15" t="s">
        <v>11</v>
      </c>
      <c r="E47" s="16" t="s">
        <v>52</v>
      </c>
      <c r="F47" s="24">
        <v>9923939.0</v>
      </c>
      <c r="G47" s="25">
        <v>262.0</v>
      </c>
      <c r="H47" s="25">
        <v>66.0</v>
      </c>
      <c r="I47" s="27"/>
    </row>
    <row r="48">
      <c r="A48" s="12">
        <f t="shared" si="1"/>
        <v>43</v>
      </c>
      <c r="B48" s="33" t="s">
        <v>90</v>
      </c>
      <c r="C48" s="14" t="s">
        <v>38</v>
      </c>
      <c r="D48" s="15" t="s">
        <v>11</v>
      </c>
      <c r="E48" s="16" t="s">
        <v>16</v>
      </c>
      <c r="F48" s="24">
        <v>1.1050106E7</v>
      </c>
      <c r="G48" s="25">
        <v>191.0</v>
      </c>
      <c r="H48" s="25">
        <v>90.0</v>
      </c>
      <c r="I48" s="27"/>
    </row>
    <row r="49">
      <c r="A49" s="12">
        <f t="shared" si="1"/>
        <v>44</v>
      </c>
      <c r="B49" s="21"/>
      <c r="C49" s="14" t="s">
        <v>39</v>
      </c>
      <c r="D49" s="15" t="s">
        <v>11</v>
      </c>
      <c r="E49" s="16" t="s">
        <v>42</v>
      </c>
      <c r="F49" s="24">
        <v>2.2055674E7</v>
      </c>
      <c r="G49" s="25">
        <v>173.0</v>
      </c>
      <c r="H49" s="25">
        <v>10.0</v>
      </c>
      <c r="I49" s="27"/>
    </row>
    <row r="50">
      <c r="A50" s="12">
        <f t="shared" si="1"/>
        <v>45</v>
      </c>
      <c r="B50" s="21"/>
      <c r="C50" s="14" t="s">
        <v>59</v>
      </c>
      <c r="D50" s="15" t="s">
        <v>11</v>
      </c>
      <c r="E50" s="16" t="s">
        <v>52</v>
      </c>
      <c r="F50" s="24">
        <v>6.0413956E7</v>
      </c>
      <c r="G50" s="25">
        <v>354.0</v>
      </c>
      <c r="H50" s="25">
        <v>29.0</v>
      </c>
      <c r="I50" s="27"/>
    </row>
    <row r="51">
      <c r="A51" s="12">
        <f t="shared" si="1"/>
        <v>46</v>
      </c>
      <c r="B51" s="92" t="s">
        <v>91</v>
      </c>
      <c r="C51" s="14" t="s">
        <v>38</v>
      </c>
      <c r="D51" s="15" t="s">
        <v>11</v>
      </c>
      <c r="E51" s="16" t="s">
        <v>16</v>
      </c>
      <c r="F51" s="24">
        <v>9.0215585E7</v>
      </c>
      <c r="G51" s="25">
        <v>169.0</v>
      </c>
      <c r="H51" s="25">
        <v>35.0</v>
      </c>
      <c r="I51" s="27"/>
    </row>
    <row r="52">
      <c r="A52" s="12">
        <f t="shared" si="1"/>
        <v>47</v>
      </c>
      <c r="B52" s="21"/>
      <c r="C52" s="14" t="s">
        <v>59</v>
      </c>
      <c r="D52" s="15" t="s">
        <v>11</v>
      </c>
      <c r="E52" s="16" t="s">
        <v>52</v>
      </c>
      <c r="F52" s="24">
        <v>1098100.0</v>
      </c>
      <c r="G52" s="25">
        <v>257.0</v>
      </c>
      <c r="H52" s="25">
        <v>22.0</v>
      </c>
      <c r="I52" s="27"/>
    </row>
    <row r="53">
      <c r="A53" s="12">
        <f t="shared" si="1"/>
        <v>48</v>
      </c>
      <c r="B53" s="33" t="s">
        <v>92</v>
      </c>
      <c r="C53" s="14" t="s">
        <v>38</v>
      </c>
      <c r="D53" s="15" t="s">
        <v>11</v>
      </c>
      <c r="E53" s="16" t="s">
        <v>16</v>
      </c>
      <c r="F53" s="24">
        <v>1880727.0</v>
      </c>
      <c r="G53" s="25">
        <v>185.0</v>
      </c>
      <c r="H53" s="25">
        <v>29.0</v>
      </c>
      <c r="I53" s="27"/>
    </row>
    <row r="54">
      <c r="A54" s="12">
        <f t="shared" si="1"/>
        <v>49</v>
      </c>
      <c r="B54" s="21"/>
      <c r="C54" s="14" t="s">
        <v>59</v>
      </c>
      <c r="D54" s="15" t="s">
        <v>11</v>
      </c>
      <c r="E54" s="16" t="s">
        <v>52</v>
      </c>
      <c r="F54" s="24">
        <v>1081640.0</v>
      </c>
      <c r="G54" s="25">
        <v>248.0</v>
      </c>
      <c r="H54" s="25">
        <v>36.0</v>
      </c>
      <c r="I54" s="27"/>
    </row>
    <row r="55">
      <c r="A55" s="12">
        <f t="shared" si="1"/>
        <v>50</v>
      </c>
      <c r="B55" s="33" t="s">
        <v>93</v>
      </c>
      <c r="C55" s="14" t="s">
        <v>38</v>
      </c>
      <c r="D55" s="15" t="s">
        <v>11</v>
      </c>
      <c r="E55" s="16" t="s">
        <v>16</v>
      </c>
      <c r="F55" s="24">
        <v>653608.0</v>
      </c>
      <c r="G55" s="25">
        <v>163.0</v>
      </c>
      <c r="H55" s="25">
        <v>23.0</v>
      </c>
      <c r="I55" s="27"/>
    </row>
    <row r="56">
      <c r="A56" s="12">
        <f t="shared" si="1"/>
        <v>51</v>
      </c>
      <c r="B56" s="21"/>
      <c r="C56" s="14" t="s">
        <v>59</v>
      </c>
      <c r="D56" s="15" t="s">
        <v>11</v>
      </c>
      <c r="E56" s="16" t="s">
        <v>52</v>
      </c>
      <c r="F56" s="24">
        <v>1129658.0</v>
      </c>
      <c r="G56" s="25">
        <v>194.0</v>
      </c>
      <c r="H56" s="25">
        <v>20.0</v>
      </c>
      <c r="I56" s="27"/>
    </row>
    <row r="57">
      <c r="A57" s="12">
        <f t="shared" si="1"/>
        <v>52</v>
      </c>
      <c r="B57" s="33" t="s">
        <v>94</v>
      </c>
      <c r="C57" s="14" t="s">
        <v>38</v>
      </c>
      <c r="D57" s="15" t="s">
        <v>11</v>
      </c>
      <c r="E57" s="16" t="s">
        <v>16</v>
      </c>
      <c r="F57" s="24">
        <v>542320.0</v>
      </c>
      <c r="G57" s="25">
        <v>123.0</v>
      </c>
      <c r="H57" s="25">
        <v>5.0</v>
      </c>
      <c r="I57" s="27"/>
    </row>
    <row r="58">
      <c r="A58" s="12">
        <f t="shared" si="1"/>
        <v>53</v>
      </c>
      <c r="B58" s="21"/>
      <c r="C58" s="14" t="s">
        <v>59</v>
      </c>
      <c r="D58" s="15" t="s">
        <v>11</v>
      </c>
      <c r="E58" s="16" t="s">
        <v>52</v>
      </c>
      <c r="F58" s="24">
        <v>1074640.0</v>
      </c>
      <c r="G58" s="25">
        <v>293.0</v>
      </c>
      <c r="H58" s="25">
        <v>36.0</v>
      </c>
      <c r="I58" s="27"/>
    </row>
    <row r="59">
      <c r="A59" s="12">
        <f t="shared" si="1"/>
        <v>54</v>
      </c>
      <c r="B59" s="33" t="s">
        <v>95</v>
      </c>
      <c r="C59" s="14" t="s">
        <v>38</v>
      </c>
      <c r="D59" s="16" t="s">
        <v>11</v>
      </c>
      <c r="E59" s="16" t="s">
        <v>16</v>
      </c>
      <c r="F59" s="24">
        <v>0.0</v>
      </c>
      <c r="G59" s="25">
        <v>200.0</v>
      </c>
      <c r="H59" s="25">
        <v>26.0</v>
      </c>
      <c r="I59" s="27"/>
    </row>
    <row r="60">
      <c r="A60" s="14">
        <v>55.0</v>
      </c>
      <c r="B60" s="76">
        <v>45901.0</v>
      </c>
      <c r="C60" s="14" t="s">
        <v>59</v>
      </c>
      <c r="D60" s="16" t="s">
        <v>11</v>
      </c>
      <c r="E60" s="16" t="s">
        <v>52</v>
      </c>
      <c r="F60" s="64">
        <v>1578970.0</v>
      </c>
      <c r="G60" s="25">
        <v>333.0</v>
      </c>
      <c r="H60" s="25">
        <v>21.0</v>
      </c>
      <c r="I60" s="27"/>
    </row>
    <row r="61">
      <c r="A61" s="14">
        <v>56.0</v>
      </c>
      <c r="B61" s="76">
        <v>45902.0</v>
      </c>
      <c r="C61" s="14" t="s">
        <v>38</v>
      </c>
      <c r="D61" s="16" t="s">
        <v>11</v>
      </c>
      <c r="E61" s="16" t="s">
        <v>16</v>
      </c>
      <c r="F61" s="24">
        <v>1066640.0</v>
      </c>
      <c r="G61" s="25">
        <v>102.0</v>
      </c>
      <c r="H61" s="25">
        <v>19.0</v>
      </c>
      <c r="I61" s="27"/>
    </row>
    <row r="62">
      <c r="A62" s="14">
        <v>57.0</v>
      </c>
      <c r="B62" s="90"/>
      <c r="C62" s="14" t="s">
        <v>59</v>
      </c>
      <c r="D62" s="16" t="s">
        <v>11</v>
      </c>
      <c r="E62" s="16" t="s">
        <v>52</v>
      </c>
      <c r="F62" s="69">
        <v>0.0</v>
      </c>
      <c r="G62" s="14">
        <v>194.0</v>
      </c>
      <c r="H62" s="14">
        <v>21.0</v>
      </c>
      <c r="I62" s="27"/>
    </row>
    <row r="63">
      <c r="A63" s="14">
        <v>58.0</v>
      </c>
      <c r="B63" s="76">
        <v>45903.0</v>
      </c>
      <c r="C63" s="14" t="s">
        <v>38</v>
      </c>
      <c r="D63" s="16" t="s">
        <v>11</v>
      </c>
      <c r="E63" s="16" t="s">
        <v>16</v>
      </c>
      <c r="F63" s="69">
        <v>5161268.0</v>
      </c>
      <c r="G63" s="14">
        <v>100.0</v>
      </c>
      <c r="H63" s="14">
        <v>37.0</v>
      </c>
      <c r="I63" s="27"/>
    </row>
    <row r="64">
      <c r="A64" s="14">
        <v>59.0</v>
      </c>
      <c r="B64" s="90"/>
      <c r="C64" s="14" t="s">
        <v>59</v>
      </c>
      <c r="D64" s="16" t="s">
        <v>11</v>
      </c>
      <c r="E64" s="16" t="s">
        <v>52</v>
      </c>
      <c r="F64" s="69">
        <v>0.0</v>
      </c>
      <c r="G64" s="14">
        <v>203.0</v>
      </c>
      <c r="H64" s="14">
        <v>30.0</v>
      </c>
      <c r="I64" s="27"/>
    </row>
    <row r="65">
      <c r="A65" s="12">
        <f>ROW(A60)</f>
        <v>60</v>
      </c>
      <c r="B65" s="76">
        <v>45904.0</v>
      </c>
      <c r="C65" s="14" t="s">
        <v>59</v>
      </c>
      <c r="D65" s="16" t="s">
        <v>11</v>
      </c>
      <c r="E65" s="16" t="s">
        <v>52</v>
      </c>
      <c r="F65" s="69">
        <v>1015560.0</v>
      </c>
      <c r="G65" s="14">
        <v>221.0</v>
      </c>
      <c r="H65" s="14">
        <v>32.0</v>
      </c>
      <c r="I65" s="27"/>
    </row>
    <row r="66">
      <c r="F66" s="71">
        <f>SUM(F6:F65)</f>
        <v>309100235</v>
      </c>
    </row>
    <row r="68">
      <c r="E68" s="57" t="s">
        <v>31</v>
      </c>
    </row>
    <row r="69">
      <c r="E69" s="66" t="s">
        <v>16</v>
      </c>
      <c r="F69" s="58" t="s">
        <v>44</v>
      </c>
    </row>
    <row r="70">
      <c r="D70" s="58"/>
      <c r="E70" s="58" t="s">
        <v>52</v>
      </c>
      <c r="F70" s="58" t="s">
        <v>66</v>
      </c>
    </row>
    <row r="72">
      <c r="E72" s="58" t="s">
        <v>96</v>
      </c>
    </row>
    <row r="73">
      <c r="E73" s="58" t="s">
        <v>89</v>
      </c>
      <c r="F73" s="58" t="s">
        <v>97</v>
      </c>
    </row>
    <row r="74">
      <c r="E74" s="58" t="s">
        <v>42</v>
      </c>
      <c r="F74" s="58" t="s">
        <v>97</v>
      </c>
    </row>
  </sheetData>
  <mergeCells count="23">
    <mergeCell ref="A2:C3"/>
    <mergeCell ref="B7:B8"/>
    <mergeCell ref="B9:B10"/>
    <mergeCell ref="B11:B12"/>
    <mergeCell ref="B13:B15"/>
    <mergeCell ref="B16:B18"/>
    <mergeCell ref="B19:B20"/>
    <mergeCell ref="B21:B22"/>
    <mergeCell ref="B23:B24"/>
    <mergeCell ref="B25:B26"/>
    <mergeCell ref="B27:B28"/>
    <mergeCell ref="B29:B30"/>
    <mergeCell ref="B33:B34"/>
    <mergeCell ref="B35:B36"/>
    <mergeCell ref="B55:B56"/>
    <mergeCell ref="B57:B58"/>
    <mergeCell ref="B37:B38"/>
    <mergeCell ref="B39:B40"/>
    <mergeCell ref="B41:B42"/>
    <mergeCell ref="B45:B47"/>
    <mergeCell ref="B48:B50"/>
    <mergeCell ref="B51:B52"/>
    <mergeCell ref="B53:B5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0</v>
      </c>
      <c r="B2" s="4"/>
      <c r="C2" s="5"/>
    </row>
    <row r="3">
      <c r="A3" s="6"/>
      <c r="B3" s="7"/>
      <c r="C3" s="8"/>
    </row>
    <row r="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10" t="s">
        <v>6</v>
      </c>
      <c r="G5" s="9" t="s">
        <v>7</v>
      </c>
      <c r="H5" s="9" t="s">
        <v>8</v>
      </c>
      <c r="I5" s="75" t="s">
        <v>58</v>
      </c>
    </row>
    <row r="6">
      <c r="A6" s="12">
        <f>ROW(A2)</f>
        <v>2</v>
      </c>
      <c r="B6" s="76">
        <v>45934.0</v>
      </c>
      <c r="C6" s="78" t="s">
        <v>59</v>
      </c>
      <c r="D6" s="16" t="s">
        <v>11</v>
      </c>
      <c r="E6" s="16" t="s">
        <v>52</v>
      </c>
      <c r="F6" s="24">
        <v>0.0</v>
      </c>
      <c r="G6" s="25">
        <v>171.0</v>
      </c>
      <c r="H6" s="18">
        <v>40.0</v>
      </c>
      <c r="I6" s="14">
        <v>14.0</v>
      </c>
    </row>
    <row r="7">
      <c r="A7" s="12">
        <f t="shared" ref="A7:A8" si="1">ROW(A4)</f>
        <v>4</v>
      </c>
      <c r="B7" s="76">
        <v>45935.0</v>
      </c>
      <c r="C7" s="78" t="s">
        <v>59</v>
      </c>
      <c r="D7" s="16" t="s">
        <v>11</v>
      </c>
      <c r="E7" s="16" t="s">
        <v>52</v>
      </c>
      <c r="F7" s="24">
        <v>0.0</v>
      </c>
      <c r="G7" s="25">
        <v>158.0</v>
      </c>
      <c r="H7" s="18">
        <v>60.0</v>
      </c>
      <c r="I7" s="14">
        <v>26.0</v>
      </c>
    </row>
    <row r="8">
      <c r="A8" s="12">
        <f t="shared" si="1"/>
        <v>5</v>
      </c>
      <c r="B8" s="76">
        <v>45936.0</v>
      </c>
      <c r="C8" s="14" t="s">
        <v>38</v>
      </c>
      <c r="D8" s="16" t="s">
        <v>11</v>
      </c>
      <c r="E8" s="16" t="s">
        <v>60</v>
      </c>
      <c r="F8" s="24">
        <v>473840.0</v>
      </c>
      <c r="G8" s="25">
        <v>120.0</v>
      </c>
      <c r="H8" s="18">
        <v>218.0</v>
      </c>
      <c r="I8" s="14">
        <v>24.0</v>
      </c>
    </row>
    <row r="9">
      <c r="A9" s="12" t="str">
        <f>ROW(#REF!)</f>
        <v>#REF!</v>
      </c>
      <c r="B9" s="20"/>
      <c r="C9" s="14" t="s">
        <v>59</v>
      </c>
      <c r="D9" s="16" t="s">
        <v>11</v>
      </c>
      <c r="E9" s="16" t="s">
        <v>52</v>
      </c>
      <c r="F9" s="24">
        <v>2265295.0</v>
      </c>
      <c r="G9" s="25">
        <v>158.0</v>
      </c>
      <c r="H9" s="18">
        <v>100.0</v>
      </c>
      <c r="I9" s="14">
        <v>33.0</v>
      </c>
    </row>
    <row r="10">
      <c r="A10" s="12">
        <f>ROW(A6)</f>
        <v>6</v>
      </c>
      <c r="B10" s="76">
        <v>45937.0</v>
      </c>
      <c r="C10" s="78" t="s">
        <v>38</v>
      </c>
      <c r="D10" s="16" t="s">
        <v>11</v>
      </c>
      <c r="E10" s="16" t="s">
        <v>60</v>
      </c>
      <c r="F10" s="24">
        <v>1210628.0</v>
      </c>
      <c r="G10" s="18">
        <v>102.0</v>
      </c>
      <c r="H10" s="18">
        <v>82.0</v>
      </c>
      <c r="I10" s="14">
        <v>31.0</v>
      </c>
    </row>
    <row r="11">
      <c r="A11" s="12" t="str">
        <f>ROW(#REF!)</f>
        <v>#REF!</v>
      </c>
      <c r="B11" s="20"/>
      <c r="C11" s="78" t="s">
        <v>59</v>
      </c>
      <c r="D11" s="15" t="s">
        <v>11</v>
      </c>
      <c r="E11" s="16" t="s">
        <v>52</v>
      </c>
      <c r="F11" s="17">
        <v>1626120.0</v>
      </c>
      <c r="G11" s="18">
        <v>119.0</v>
      </c>
      <c r="H11" s="18">
        <v>20.0</v>
      </c>
      <c r="I11" s="14">
        <v>34.0</v>
      </c>
    </row>
    <row r="12">
      <c r="A12" s="12">
        <f t="shared" ref="A12:A21" si="2">ROW(A7)</f>
        <v>7</v>
      </c>
      <c r="B12" s="90">
        <v>45938.0</v>
      </c>
      <c r="C12" s="14" t="s">
        <v>38</v>
      </c>
      <c r="D12" s="15" t="s">
        <v>11</v>
      </c>
      <c r="E12" s="16" t="s">
        <v>60</v>
      </c>
      <c r="F12" s="17">
        <v>0.0</v>
      </c>
      <c r="G12" s="18">
        <v>86.0</v>
      </c>
      <c r="H12" s="18">
        <v>17.0</v>
      </c>
      <c r="I12" s="14">
        <v>21.0</v>
      </c>
    </row>
    <row r="13">
      <c r="A13" s="12">
        <f t="shared" si="2"/>
        <v>8</v>
      </c>
      <c r="B13" s="21"/>
      <c r="C13" s="14" t="s">
        <v>59</v>
      </c>
      <c r="D13" s="15" t="s">
        <v>11</v>
      </c>
      <c r="E13" s="16" t="s">
        <v>52</v>
      </c>
      <c r="F13" s="17">
        <v>0.0</v>
      </c>
      <c r="G13" s="18">
        <v>117.0</v>
      </c>
      <c r="H13" s="18">
        <v>104.0</v>
      </c>
      <c r="I13" s="14">
        <v>28.0</v>
      </c>
    </row>
    <row r="14">
      <c r="A14" s="12">
        <f t="shared" si="2"/>
        <v>9</v>
      </c>
      <c r="B14" s="76">
        <v>45939.0</v>
      </c>
      <c r="C14" s="14" t="s">
        <v>38</v>
      </c>
      <c r="D14" s="15" t="s">
        <v>11</v>
      </c>
      <c r="E14" s="16" t="s">
        <v>60</v>
      </c>
      <c r="F14" s="82">
        <v>0.0</v>
      </c>
      <c r="G14" s="18">
        <v>98.0</v>
      </c>
      <c r="H14" s="18">
        <v>17.0</v>
      </c>
      <c r="I14" s="14">
        <v>34.0</v>
      </c>
    </row>
    <row r="15">
      <c r="A15" s="12">
        <f t="shared" si="2"/>
        <v>10</v>
      </c>
      <c r="B15" s="20"/>
      <c r="C15" s="14" t="s">
        <v>59</v>
      </c>
      <c r="D15" s="15" t="s">
        <v>11</v>
      </c>
      <c r="E15" s="16" t="s">
        <v>52</v>
      </c>
      <c r="F15" s="82">
        <v>1639919.0</v>
      </c>
      <c r="G15" s="18">
        <v>147.0</v>
      </c>
      <c r="H15" s="18">
        <v>2.0</v>
      </c>
      <c r="I15" s="14">
        <v>33.0</v>
      </c>
    </row>
    <row r="16">
      <c r="A16" s="12">
        <f t="shared" si="2"/>
        <v>11</v>
      </c>
      <c r="B16" s="76">
        <v>45940.0</v>
      </c>
      <c r="C16" s="78" t="s">
        <v>38</v>
      </c>
      <c r="D16" s="15" t="s">
        <v>11</v>
      </c>
      <c r="E16" s="16" t="s">
        <v>60</v>
      </c>
      <c r="F16" s="82">
        <v>1550932.0</v>
      </c>
      <c r="G16" s="18">
        <v>131.0</v>
      </c>
      <c r="H16" s="18">
        <v>111.0</v>
      </c>
      <c r="I16" s="14">
        <v>49.0</v>
      </c>
    </row>
    <row r="17">
      <c r="A17" s="12">
        <f t="shared" si="2"/>
        <v>12</v>
      </c>
      <c r="B17" s="21"/>
      <c r="C17" s="78" t="s">
        <v>40</v>
      </c>
      <c r="D17" s="15" t="s">
        <v>11</v>
      </c>
      <c r="E17" s="16" t="s">
        <v>52</v>
      </c>
      <c r="F17" s="17">
        <v>4813002.0</v>
      </c>
      <c r="G17" s="18">
        <v>150.0</v>
      </c>
      <c r="H17" s="18">
        <v>114.0</v>
      </c>
      <c r="I17" s="14">
        <v>30.0</v>
      </c>
    </row>
    <row r="18">
      <c r="A18" s="12">
        <f t="shared" si="2"/>
        <v>13</v>
      </c>
      <c r="B18" s="20"/>
      <c r="C18" s="78" t="s">
        <v>59</v>
      </c>
      <c r="D18" s="15" t="s">
        <v>11</v>
      </c>
      <c r="E18" s="16" t="s">
        <v>52</v>
      </c>
      <c r="F18" s="24">
        <v>1109872.0</v>
      </c>
      <c r="G18" s="18">
        <v>141.0</v>
      </c>
      <c r="H18" s="60">
        <v>50.0</v>
      </c>
      <c r="I18" s="14">
        <v>77.0</v>
      </c>
    </row>
    <row r="19">
      <c r="A19" s="12">
        <f t="shared" si="2"/>
        <v>14</v>
      </c>
      <c r="B19" s="76"/>
      <c r="C19" s="78" t="s">
        <v>38</v>
      </c>
      <c r="D19" s="15" t="s">
        <v>11</v>
      </c>
      <c r="E19" s="16" t="s">
        <v>60</v>
      </c>
      <c r="F19" s="24">
        <v>0.0</v>
      </c>
      <c r="G19" s="18">
        <v>112.0</v>
      </c>
      <c r="H19" s="18">
        <v>86.0</v>
      </c>
      <c r="I19" s="14">
        <v>40.0</v>
      </c>
    </row>
    <row r="20">
      <c r="A20" s="12">
        <f t="shared" si="2"/>
        <v>15</v>
      </c>
      <c r="B20" s="90">
        <v>45941.0</v>
      </c>
      <c r="C20" s="78" t="s">
        <v>40</v>
      </c>
      <c r="D20" s="15" t="s">
        <v>11</v>
      </c>
      <c r="E20" s="16" t="s">
        <v>98</v>
      </c>
      <c r="F20" s="24">
        <v>1053670.0</v>
      </c>
      <c r="G20" s="25">
        <v>251.0</v>
      </c>
      <c r="H20" s="25">
        <v>32.0</v>
      </c>
      <c r="I20" s="14">
        <v>35.0</v>
      </c>
    </row>
    <row r="21">
      <c r="A21" s="12">
        <f t="shared" si="2"/>
        <v>16</v>
      </c>
      <c r="B21" s="20"/>
      <c r="C21" s="78" t="s">
        <v>59</v>
      </c>
      <c r="D21" s="15" t="s">
        <v>11</v>
      </c>
      <c r="E21" s="16" t="s">
        <v>52</v>
      </c>
      <c r="F21" s="17">
        <v>618820.0</v>
      </c>
      <c r="G21" s="25">
        <v>232.0</v>
      </c>
      <c r="H21" s="25">
        <v>70.0</v>
      </c>
      <c r="I21" s="14">
        <v>26.0</v>
      </c>
    </row>
    <row r="22">
      <c r="A22" s="12">
        <f t="shared" ref="A22:A25" si="3">ROW(A18)</f>
        <v>18</v>
      </c>
      <c r="B22" s="93">
        <v>45942.0</v>
      </c>
      <c r="C22" s="78" t="s">
        <v>59</v>
      </c>
      <c r="D22" s="15" t="s">
        <v>11</v>
      </c>
      <c r="E22" s="16" t="s">
        <v>52</v>
      </c>
      <c r="F22" s="17">
        <v>760945.0</v>
      </c>
      <c r="G22" s="25">
        <v>230.0</v>
      </c>
      <c r="H22" s="25">
        <v>120.0</v>
      </c>
      <c r="I22" s="14">
        <v>18.0</v>
      </c>
    </row>
    <row r="23">
      <c r="A23" s="12">
        <f t="shared" si="3"/>
        <v>19</v>
      </c>
      <c r="B23" s="76">
        <v>45943.0</v>
      </c>
      <c r="C23" s="14" t="s">
        <v>38</v>
      </c>
      <c r="D23" s="16" t="s">
        <v>11</v>
      </c>
      <c r="E23" s="16" t="s">
        <v>60</v>
      </c>
      <c r="F23" s="24">
        <v>1003750.0</v>
      </c>
      <c r="G23" s="25">
        <v>134.0</v>
      </c>
      <c r="H23" s="25">
        <v>9.0</v>
      </c>
      <c r="I23" s="14">
        <v>29.0</v>
      </c>
    </row>
    <row r="24">
      <c r="A24" s="12">
        <f t="shared" si="3"/>
        <v>20</v>
      </c>
      <c r="B24" s="20"/>
      <c r="C24" s="14" t="s">
        <v>59</v>
      </c>
      <c r="D24" s="15" t="s">
        <v>11</v>
      </c>
      <c r="E24" s="16" t="s">
        <v>52</v>
      </c>
      <c r="F24" s="24">
        <v>0.0</v>
      </c>
      <c r="G24" s="25">
        <v>182.0</v>
      </c>
      <c r="H24" s="25">
        <v>113.0</v>
      </c>
      <c r="I24" s="14">
        <v>19.0</v>
      </c>
    </row>
    <row r="25">
      <c r="A25" s="12">
        <f t="shared" si="3"/>
        <v>21</v>
      </c>
      <c r="B25" s="76">
        <v>45944.0</v>
      </c>
      <c r="C25" s="78" t="s">
        <v>38</v>
      </c>
      <c r="D25" s="16" t="s">
        <v>11</v>
      </c>
      <c r="E25" s="16" t="s">
        <v>60</v>
      </c>
      <c r="F25" s="24">
        <v>715147.0</v>
      </c>
      <c r="G25" s="25">
        <v>108.0</v>
      </c>
      <c r="H25" s="25">
        <v>240.0</v>
      </c>
      <c r="I25" s="14">
        <v>31.0</v>
      </c>
    </row>
    <row r="26">
      <c r="A26" s="12" t="str">
        <f>ROW(#REF!)</f>
        <v>#REF!</v>
      </c>
      <c r="B26" s="20"/>
      <c r="C26" s="78" t="s">
        <v>59</v>
      </c>
      <c r="D26" s="16" t="s">
        <v>11</v>
      </c>
      <c r="E26" s="16" t="s">
        <v>52</v>
      </c>
      <c r="F26" s="24">
        <v>1309790.0</v>
      </c>
      <c r="G26" s="25">
        <v>166.0</v>
      </c>
      <c r="H26" s="25">
        <v>40.0</v>
      </c>
      <c r="I26" s="14">
        <v>16.0</v>
      </c>
    </row>
    <row r="27">
      <c r="A27" s="12">
        <f t="shared" ref="A27:A30" si="4">ROW(A22)</f>
        <v>22</v>
      </c>
      <c r="B27" s="76">
        <v>45945.0</v>
      </c>
      <c r="C27" s="14" t="s">
        <v>38</v>
      </c>
      <c r="D27" s="16" t="s">
        <v>11</v>
      </c>
      <c r="E27" s="16" t="s">
        <v>60</v>
      </c>
      <c r="F27" s="24">
        <v>0.0</v>
      </c>
      <c r="G27" s="25">
        <v>121.0</v>
      </c>
      <c r="H27" s="25">
        <v>115.0</v>
      </c>
      <c r="I27" s="14">
        <v>37.0</v>
      </c>
    </row>
    <row r="28">
      <c r="A28" s="12">
        <f t="shared" si="4"/>
        <v>23</v>
      </c>
      <c r="B28" s="20"/>
      <c r="C28" s="14" t="s">
        <v>59</v>
      </c>
      <c r="D28" s="16" t="s">
        <v>11</v>
      </c>
      <c r="E28" s="16" t="s">
        <v>52</v>
      </c>
      <c r="F28" s="24">
        <v>1687020.0</v>
      </c>
      <c r="G28" s="25">
        <v>195.0</v>
      </c>
      <c r="H28" s="25">
        <v>280.0</v>
      </c>
      <c r="I28" s="14">
        <v>36.0</v>
      </c>
    </row>
    <row r="29">
      <c r="A29" s="12">
        <f t="shared" si="4"/>
        <v>24</v>
      </c>
      <c r="B29" s="76">
        <v>45946.0</v>
      </c>
      <c r="C29" s="78" t="s">
        <v>38</v>
      </c>
      <c r="D29" s="16" t="s">
        <v>11</v>
      </c>
      <c r="E29" s="16" t="s">
        <v>60</v>
      </c>
      <c r="F29" s="24">
        <v>0.0</v>
      </c>
      <c r="G29" s="25">
        <v>135.0</v>
      </c>
      <c r="H29" s="25">
        <v>42.0</v>
      </c>
      <c r="I29" s="14">
        <v>57.0</v>
      </c>
    </row>
    <row r="30">
      <c r="A30" s="12">
        <f t="shared" si="4"/>
        <v>25</v>
      </c>
      <c r="B30" s="20"/>
      <c r="C30" s="78" t="s">
        <v>59</v>
      </c>
      <c r="D30" s="15" t="s">
        <v>11</v>
      </c>
      <c r="E30" s="16" t="s">
        <v>52</v>
      </c>
      <c r="F30" s="24">
        <v>343204.0</v>
      </c>
      <c r="G30" s="25">
        <v>181.0</v>
      </c>
      <c r="H30" s="25">
        <v>20.0</v>
      </c>
      <c r="I30" s="14">
        <v>24.0</v>
      </c>
    </row>
    <row r="31">
      <c r="A31" s="12">
        <f>ROW(A27)</f>
        <v>27</v>
      </c>
      <c r="B31" s="93">
        <v>45947.0</v>
      </c>
      <c r="C31" s="78" t="s">
        <v>59</v>
      </c>
      <c r="D31" s="16" t="s">
        <v>11</v>
      </c>
      <c r="E31" s="16" t="s">
        <v>52</v>
      </c>
      <c r="F31" s="24">
        <v>408421.0</v>
      </c>
      <c r="G31" s="25">
        <v>154.0</v>
      </c>
      <c r="H31" s="25">
        <v>39.0</v>
      </c>
      <c r="I31" s="14">
        <v>26.0</v>
      </c>
    </row>
    <row r="32">
      <c r="A32" s="12">
        <f>ROW(A29)</f>
        <v>29</v>
      </c>
      <c r="B32" s="90">
        <v>45948.0</v>
      </c>
      <c r="C32" s="14" t="s">
        <v>59</v>
      </c>
      <c r="D32" s="16" t="s">
        <v>11</v>
      </c>
      <c r="E32" s="16" t="s">
        <v>52</v>
      </c>
      <c r="F32" s="24">
        <v>597120.0</v>
      </c>
      <c r="G32" s="25">
        <v>164.0</v>
      </c>
      <c r="H32" s="25">
        <v>55.0</v>
      </c>
      <c r="I32" s="14">
        <v>24.0</v>
      </c>
    </row>
    <row r="33">
      <c r="A33" s="12" t="str">
        <f>ROW(#REF!)</f>
        <v>#REF!</v>
      </c>
      <c r="B33" s="90">
        <v>45949.0</v>
      </c>
      <c r="C33" s="78" t="s">
        <v>59</v>
      </c>
      <c r="D33" s="15" t="s">
        <v>11</v>
      </c>
      <c r="E33" s="16" t="s">
        <v>52</v>
      </c>
      <c r="F33" s="24">
        <v>2734900.0</v>
      </c>
      <c r="G33" s="25">
        <v>178.0</v>
      </c>
      <c r="H33" s="25">
        <v>68.0</v>
      </c>
      <c r="I33" s="14">
        <v>20.0</v>
      </c>
    </row>
    <row r="34">
      <c r="A34" s="12">
        <f>ROW(A31)</f>
        <v>31</v>
      </c>
      <c r="B34" s="76">
        <v>45950.0</v>
      </c>
      <c r="C34" s="78" t="s">
        <v>38</v>
      </c>
      <c r="D34" s="16" t="s">
        <v>11</v>
      </c>
      <c r="E34" s="16" t="s">
        <v>60</v>
      </c>
      <c r="F34" s="24">
        <v>3863282.0</v>
      </c>
      <c r="G34" s="25">
        <v>117.0</v>
      </c>
      <c r="H34" s="25">
        <v>21.0</v>
      </c>
      <c r="I34" s="14">
        <v>45.0</v>
      </c>
    </row>
    <row r="35">
      <c r="A35" s="12" t="str">
        <f>ROW(#REF!)</f>
        <v>#REF!</v>
      </c>
      <c r="B35" s="20"/>
      <c r="C35" s="78" t="s">
        <v>59</v>
      </c>
      <c r="D35" s="16" t="s">
        <v>11</v>
      </c>
      <c r="E35" s="16" t="s">
        <v>52</v>
      </c>
      <c r="F35" s="24">
        <v>1014119.0</v>
      </c>
      <c r="G35" s="25">
        <v>193.0</v>
      </c>
      <c r="H35" s="25">
        <v>41.0</v>
      </c>
      <c r="I35" s="14">
        <v>45.0</v>
      </c>
    </row>
    <row r="36">
      <c r="A36" s="12">
        <f>ROW(A32)</f>
        <v>32</v>
      </c>
      <c r="B36" s="76">
        <v>45951.0</v>
      </c>
      <c r="C36" s="14" t="s">
        <v>38</v>
      </c>
      <c r="D36" s="16" t="s">
        <v>11</v>
      </c>
      <c r="E36" s="16" t="s">
        <v>60</v>
      </c>
      <c r="F36" s="24">
        <v>2.2461964E7</v>
      </c>
      <c r="G36" s="25">
        <v>147.0</v>
      </c>
      <c r="H36" s="25">
        <v>49.0</v>
      </c>
      <c r="I36" s="14">
        <v>30.0</v>
      </c>
    </row>
    <row r="37">
      <c r="A37" s="12" t="str">
        <f>ROW(#REF!)</f>
        <v>#REF!</v>
      </c>
      <c r="B37" s="20"/>
      <c r="C37" s="14" t="s">
        <v>59</v>
      </c>
      <c r="D37" s="16" t="s">
        <v>11</v>
      </c>
      <c r="E37" s="16" t="s">
        <v>52</v>
      </c>
      <c r="F37" s="24">
        <v>549740.0</v>
      </c>
      <c r="G37" s="25">
        <v>200.0</v>
      </c>
      <c r="H37" s="25">
        <v>12.0</v>
      </c>
      <c r="I37" s="14">
        <v>29.0</v>
      </c>
    </row>
    <row r="38">
      <c r="A38" s="12">
        <f t="shared" ref="A38:A49" si="5">ROW(A33)</f>
        <v>33</v>
      </c>
      <c r="B38" s="76">
        <v>45952.0</v>
      </c>
      <c r="C38" s="78" t="s">
        <v>38</v>
      </c>
      <c r="D38" s="16" t="s">
        <v>11</v>
      </c>
      <c r="E38" s="16" t="s">
        <v>60</v>
      </c>
      <c r="F38" s="24">
        <v>735415.0</v>
      </c>
      <c r="G38" s="25">
        <v>117.0</v>
      </c>
      <c r="H38" s="25">
        <v>188.0</v>
      </c>
      <c r="I38" s="14">
        <v>18.0</v>
      </c>
    </row>
    <row r="39">
      <c r="A39" s="12">
        <f t="shared" si="5"/>
        <v>34</v>
      </c>
      <c r="B39" s="20"/>
      <c r="C39" s="78" t="s">
        <v>59</v>
      </c>
      <c r="D39" s="15" t="s">
        <v>11</v>
      </c>
      <c r="E39" s="16" t="s">
        <v>52</v>
      </c>
      <c r="F39" s="24">
        <v>1.4618921E7</v>
      </c>
      <c r="G39" s="25">
        <v>204.0</v>
      </c>
      <c r="H39" s="25">
        <v>400.0</v>
      </c>
      <c r="I39" s="14">
        <v>40.0</v>
      </c>
    </row>
    <row r="40">
      <c r="A40" s="12">
        <f t="shared" si="5"/>
        <v>35</v>
      </c>
      <c r="B40" s="76">
        <v>45953.0</v>
      </c>
      <c r="C40" s="78" t="s">
        <v>38</v>
      </c>
      <c r="D40" s="16" t="s">
        <v>11</v>
      </c>
      <c r="E40" s="16" t="s">
        <v>60</v>
      </c>
      <c r="F40" s="24">
        <v>1.7673916E7</v>
      </c>
      <c r="G40" s="25">
        <v>199.0</v>
      </c>
      <c r="H40" s="62">
        <v>14.0</v>
      </c>
      <c r="I40" s="14">
        <v>22.0</v>
      </c>
    </row>
    <row r="41">
      <c r="A41" s="12">
        <f t="shared" si="5"/>
        <v>36</v>
      </c>
      <c r="B41" s="20"/>
      <c r="C41" s="78" t="s">
        <v>59</v>
      </c>
      <c r="D41" s="16" t="s">
        <v>11</v>
      </c>
      <c r="E41" s="16" t="s">
        <v>52</v>
      </c>
      <c r="F41" s="24">
        <v>2355713.0</v>
      </c>
      <c r="G41" s="25">
        <v>295.0</v>
      </c>
      <c r="H41" s="25">
        <v>20.0</v>
      </c>
      <c r="I41" s="14">
        <v>55.0</v>
      </c>
    </row>
    <row r="42">
      <c r="A42" s="12">
        <f t="shared" si="5"/>
        <v>37</v>
      </c>
      <c r="B42" s="76">
        <v>45954.0</v>
      </c>
      <c r="C42" s="14" t="s">
        <v>38</v>
      </c>
      <c r="D42" s="16" t="s">
        <v>11</v>
      </c>
      <c r="E42" s="16" t="s">
        <v>60</v>
      </c>
      <c r="F42" s="24">
        <v>3056210.0</v>
      </c>
      <c r="G42" s="25">
        <v>165.0</v>
      </c>
      <c r="H42" s="25">
        <v>59.0</v>
      </c>
      <c r="I42" s="14">
        <v>27.0</v>
      </c>
    </row>
    <row r="43">
      <c r="A43" s="12">
        <f t="shared" si="5"/>
        <v>38</v>
      </c>
      <c r="B43" s="20"/>
      <c r="C43" s="14" t="s">
        <v>59</v>
      </c>
      <c r="D43" s="16" t="s">
        <v>11</v>
      </c>
      <c r="E43" s="16" t="s">
        <v>52</v>
      </c>
      <c r="F43" s="24">
        <v>3064980.0</v>
      </c>
      <c r="G43" s="25">
        <v>224.0</v>
      </c>
      <c r="H43" s="25">
        <v>210.0</v>
      </c>
      <c r="I43" s="14">
        <v>44.0</v>
      </c>
    </row>
    <row r="44">
      <c r="A44" s="12">
        <f t="shared" si="5"/>
        <v>39</v>
      </c>
      <c r="B44" s="76">
        <v>45955.0</v>
      </c>
      <c r="C44" s="78" t="s">
        <v>38</v>
      </c>
      <c r="D44" s="15" t="s">
        <v>11</v>
      </c>
      <c r="E44" s="16" t="s">
        <v>60</v>
      </c>
      <c r="F44" s="24">
        <v>7644374.0</v>
      </c>
      <c r="G44" s="25">
        <v>231.0</v>
      </c>
      <c r="H44" s="25">
        <v>19.0</v>
      </c>
      <c r="I44" s="14">
        <v>74.0</v>
      </c>
    </row>
    <row r="45">
      <c r="A45" s="12">
        <f t="shared" si="5"/>
        <v>40</v>
      </c>
      <c r="B45" s="21"/>
      <c r="C45" s="78" t="s">
        <v>40</v>
      </c>
      <c r="D45" s="15" t="s">
        <v>11</v>
      </c>
      <c r="E45" s="16" t="s">
        <v>60</v>
      </c>
      <c r="F45" s="24">
        <v>2673315.0</v>
      </c>
      <c r="G45" s="25">
        <v>308.0</v>
      </c>
      <c r="H45" s="25">
        <v>14.0</v>
      </c>
      <c r="I45" s="14">
        <v>71.0</v>
      </c>
    </row>
    <row r="46">
      <c r="A46" s="12">
        <f t="shared" si="5"/>
        <v>41</v>
      </c>
      <c r="B46" s="20"/>
      <c r="C46" s="78" t="s">
        <v>59</v>
      </c>
      <c r="D46" s="15" t="s">
        <v>11</v>
      </c>
      <c r="E46" s="16" t="s">
        <v>52</v>
      </c>
      <c r="F46" s="24">
        <v>3182113.0</v>
      </c>
      <c r="G46" s="25">
        <v>293.0</v>
      </c>
      <c r="H46" s="25">
        <v>211.0</v>
      </c>
      <c r="I46" s="14">
        <v>42.0</v>
      </c>
    </row>
    <row r="47">
      <c r="A47" s="12">
        <f t="shared" si="5"/>
        <v>42</v>
      </c>
      <c r="B47" s="76">
        <v>45956.0</v>
      </c>
      <c r="C47" s="78" t="s">
        <v>38</v>
      </c>
      <c r="D47" s="16" t="s">
        <v>11</v>
      </c>
      <c r="E47" s="16" t="s">
        <v>60</v>
      </c>
      <c r="F47" s="24">
        <v>2.2835426E7</v>
      </c>
      <c r="G47" s="25">
        <v>360.0</v>
      </c>
      <c r="H47" s="25">
        <v>250.0</v>
      </c>
      <c r="I47" s="14">
        <v>61.0</v>
      </c>
    </row>
    <row r="48">
      <c r="A48" s="12">
        <f t="shared" si="5"/>
        <v>43</v>
      </c>
      <c r="B48" s="20"/>
      <c r="C48" s="78" t="s">
        <v>59</v>
      </c>
      <c r="D48" s="15" t="s">
        <v>11</v>
      </c>
      <c r="E48" s="16" t="s">
        <v>60</v>
      </c>
      <c r="F48" s="24">
        <v>5557914.0</v>
      </c>
      <c r="G48" s="25">
        <v>504.0</v>
      </c>
      <c r="H48" s="25">
        <v>268.0</v>
      </c>
      <c r="I48" s="14">
        <v>48.0</v>
      </c>
    </row>
    <row r="49">
      <c r="A49" s="12">
        <f t="shared" si="5"/>
        <v>44</v>
      </c>
      <c r="B49" s="94"/>
      <c r="C49" s="78" t="s">
        <v>59</v>
      </c>
      <c r="D49" s="15" t="s">
        <v>11</v>
      </c>
      <c r="E49" s="16" t="s">
        <v>52</v>
      </c>
      <c r="F49" s="24">
        <v>2548568.0</v>
      </c>
      <c r="G49" s="25">
        <v>359.0</v>
      </c>
      <c r="H49" s="25">
        <v>15.0</v>
      </c>
      <c r="I49" s="14">
        <v>50.0</v>
      </c>
    </row>
    <row r="50">
      <c r="A50" s="12">
        <f t="shared" ref="A50:A54" si="6">ROW(A44)</f>
        <v>44</v>
      </c>
      <c r="B50" s="76">
        <v>45957.0</v>
      </c>
      <c r="C50" s="78" t="s">
        <v>38</v>
      </c>
      <c r="D50" s="16" t="s">
        <v>11</v>
      </c>
      <c r="E50" s="16" t="s">
        <v>60</v>
      </c>
      <c r="F50" s="24">
        <v>1882870.0</v>
      </c>
      <c r="G50" s="25">
        <v>307.0</v>
      </c>
      <c r="H50" s="25">
        <v>314.0</v>
      </c>
      <c r="I50" s="14">
        <v>48.0</v>
      </c>
    </row>
    <row r="51">
      <c r="A51" s="12">
        <f t="shared" si="6"/>
        <v>45</v>
      </c>
      <c r="B51" s="20"/>
      <c r="C51" s="78" t="s">
        <v>59</v>
      </c>
      <c r="D51" s="16" t="s">
        <v>11</v>
      </c>
      <c r="E51" s="16" t="s">
        <v>52</v>
      </c>
      <c r="F51" s="24">
        <v>4904214.0</v>
      </c>
      <c r="G51" s="25">
        <v>395.0</v>
      </c>
      <c r="H51" s="25">
        <v>123.0</v>
      </c>
      <c r="I51" s="14">
        <v>60.0</v>
      </c>
    </row>
    <row r="52">
      <c r="A52" s="12">
        <f t="shared" si="6"/>
        <v>46</v>
      </c>
      <c r="B52" s="76">
        <v>45958.0</v>
      </c>
      <c r="C52" s="14" t="s">
        <v>38</v>
      </c>
      <c r="D52" s="16" t="s">
        <v>11</v>
      </c>
      <c r="E52" s="16" t="s">
        <v>60</v>
      </c>
      <c r="F52" s="24">
        <v>3310045.0</v>
      </c>
      <c r="G52" s="25">
        <v>188.0</v>
      </c>
      <c r="H52" s="25">
        <v>55.0</v>
      </c>
      <c r="I52" s="14">
        <v>20.0</v>
      </c>
    </row>
    <row r="53">
      <c r="A53" s="12">
        <f t="shared" si="6"/>
        <v>47</v>
      </c>
      <c r="B53" s="20"/>
      <c r="C53" s="14" t="s">
        <v>59</v>
      </c>
      <c r="D53" s="16" t="s">
        <v>11</v>
      </c>
      <c r="E53" s="16" t="s">
        <v>52</v>
      </c>
      <c r="F53" s="24">
        <v>4004210.0</v>
      </c>
      <c r="G53" s="25">
        <v>386.0</v>
      </c>
      <c r="H53" s="25">
        <v>231.0</v>
      </c>
      <c r="I53" s="14">
        <v>53.0</v>
      </c>
    </row>
    <row r="54">
      <c r="A54" s="12">
        <f t="shared" si="6"/>
        <v>48</v>
      </c>
      <c r="B54" s="76">
        <v>45959.0</v>
      </c>
      <c r="C54" s="78" t="s">
        <v>38</v>
      </c>
      <c r="D54" s="16" t="s">
        <v>11</v>
      </c>
      <c r="E54" s="16" t="s">
        <v>60</v>
      </c>
      <c r="F54" s="24">
        <v>1479070.0</v>
      </c>
      <c r="G54" s="25">
        <v>187.0</v>
      </c>
      <c r="H54" s="25">
        <v>190.0</v>
      </c>
      <c r="I54" s="14">
        <v>45.0</v>
      </c>
    </row>
    <row r="55">
      <c r="A55" s="12">
        <f t="shared" ref="A55:A67" si="7">ROW(A50)</f>
        <v>50</v>
      </c>
      <c r="B55" s="20"/>
      <c r="C55" s="78" t="s">
        <v>59</v>
      </c>
      <c r="D55" s="15" t="s">
        <v>11</v>
      </c>
      <c r="E55" s="16" t="s">
        <v>52</v>
      </c>
      <c r="F55" s="24">
        <v>2233463.0</v>
      </c>
      <c r="G55" s="25">
        <v>332.0</v>
      </c>
      <c r="H55" s="25">
        <v>11.0</v>
      </c>
      <c r="I55" s="14">
        <v>60.0</v>
      </c>
    </row>
    <row r="56">
      <c r="A56" s="12">
        <f t="shared" si="7"/>
        <v>51</v>
      </c>
      <c r="B56" s="76">
        <v>45960.0</v>
      </c>
      <c r="C56" s="78" t="s">
        <v>38</v>
      </c>
      <c r="D56" s="16" t="s">
        <v>11</v>
      </c>
      <c r="E56" s="16" t="s">
        <v>60</v>
      </c>
      <c r="F56" s="24">
        <v>1.3339601E7</v>
      </c>
      <c r="G56" s="25">
        <v>195.0</v>
      </c>
      <c r="H56" s="25">
        <v>15.0</v>
      </c>
      <c r="I56" s="14">
        <v>31.0</v>
      </c>
    </row>
    <row r="57">
      <c r="A57" s="12">
        <f t="shared" si="7"/>
        <v>52</v>
      </c>
      <c r="B57" s="20"/>
      <c r="C57" s="78" t="s">
        <v>59</v>
      </c>
      <c r="D57" s="16" t="s">
        <v>11</v>
      </c>
      <c r="E57" s="16" t="s">
        <v>52</v>
      </c>
      <c r="F57" s="24">
        <v>519330.0</v>
      </c>
      <c r="G57" s="25">
        <v>316.0</v>
      </c>
      <c r="H57" s="25">
        <v>52.0</v>
      </c>
      <c r="I57" s="14">
        <v>33.0</v>
      </c>
    </row>
    <row r="58">
      <c r="A58" s="12">
        <f t="shared" si="7"/>
        <v>53</v>
      </c>
      <c r="B58" s="76">
        <v>45961.0</v>
      </c>
      <c r="C58" s="14" t="s">
        <v>38</v>
      </c>
      <c r="D58" s="16" t="s">
        <v>11</v>
      </c>
      <c r="E58" s="16" t="s">
        <v>60</v>
      </c>
      <c r="F58" s="69">
        <v>1203498.0</v>
      </c>
      <c r="G58" s="14">
        <v>232.0</v>
      </c>
      <c r="H58" s="14">
        <v>380.0</v>
      </c>
      <c r="I58" s="14">
        <v>29.0</v>
      </c>
    </row>
    <row r="59">
      <c r="A59" s="12">
        <f t="shared" si="7"/>
        <v>54</v>
      </c>
      <c r="B59" s="20"/>
      <c r="C59" s="14" t="s">
        <v>59</v>
      </c>
      <c r="D59" s="16" t="s">
        <v>11</v>
      </c>
      <c r="E59" s="16" t="s">
        <v>52</v>
      </c>
      <c r="F59" s="69">
        <v>548380.0</v>
      </c>
      <c r="G59" s="14">
        <v>235.0</v>
      </c>
      <c r="H59" s="14">
        <v>0.0</v>
      </c>
      <c r="I59" s="14">
        <v>30.0</v>
      </c>
    </row>
    <row r="60">
      <c r="A60" s="12">
        <f t="shared" si="7"/>
        <v>55</v>
      </c>
      <c r="B60" s="76">
        <v>45962.0</v>
      </c>
      <c r="C60" s="78" t="s">
        <v>38</v>
      </c>
      <c r="D60" s="16" t="s">
        <v>11</v>
      </c>
      <c r="E60" s="16" t="s">
        <v>60</v>
      </c>
      <c r="F60" s="24">
        <v>1029354.0</v>
      </c>
      <c r="G60" s="25">
        <v>172.0</v>
      </c>
      <c r="H60" s="25">
        <v>4.0</v>
      </c>
      <c r="I60" s="14">
        <v>41.0</v>
      </c>
    </row>
    <row r="61">
      <c r="A61" s="12">
        <f t="shared" si="7"/>
        <v>56</v>
      </c>
      <c r="B61" s="20"/>
      <c r="C61" s="78" t="s">
        <v>59</v>
      </c>
      <c r="D61" s="15" t="s">
        <v>11</v>
      </c>
      <c r="E61" s="16" t="s">
        <v>52</v>
      </c>
      <c r="F61" s="24">
        <v>1434130.0</v>
      </c>
      <c r="G61" s="25">
        <v>267.0</v>
      </c>
      <c r="H61" s="25">
        <v>40.0</v>
      </c>
      <c r="I61" s="14">
        <v>28.0</v>
      </c>
    </row>
    <row r="62">
      <c r="A62" s="12">
        <f t="shared" si="7"/>
        <v>57</v>
      </c>
      <c r="B62" s="76">
        <v>45963.0</v>
      </c>
      <c r="C62" s="78" t="s">
        <v>38</v>
      </c>
      <c r="D62" s="16" t="s">
        <v>11</v>
      </c>
      <c r="E62" s="16" t="s">
        <v>60</v>
      </c>
      <c r="F62" s="24">
        <v>0.0</v>
      </c>
      <c r="G62" s="25">
        <v>229.0</v>
      </c>
      <c r="H62" s="62">
        <v>3210.0</v>
      </c>
      <c r="I62" s="14">
        <v>31.0</v>
      </c>
    </row>
    <row r="63">
      <c r="A63" s="12">
        <f t="shared" si="7"/>
        <v>58</v>
      </c>
      <c r="B63" s="20"/>
      <c r="C63" s="78" t="s">
        <v>59</v>
      </c>
      <c r="D63" s="16" t="s">
        <v>11</v>
      </c>
      <c r="E63" s="16" t="s">
        <v>52</v>
      </c>
      <c r="F63" s="24">
        <v>0.0</v>
      </c>
      <c r="G63" s="25">
        <v>344.0</v>
      </c>
      <c r="H63" s="25">
        <v>113.0</v>
      </c>
      <c r="I63" s="14">
        <v>47.0</v>
      </c>
    </row>
    <row r="64">
      <c r="A64" s="12">
        <f t="shared" si="7"/>
        <v>59</v>
      </c>
      <c r="B64" s="76">
        <v>45964.0</v>
      </c>
      <c r="C64" s="14" t="s">
        <v>38</v>
      </c>
      <c r="D64" s="16" t="s">
        <v>11</v>
      </c>
      <c r="E64" s="16" t="s">
        <v>60</v>
      </c>
      <c r="F64" s="69">
        <v>1961044.0</v>
      </c>
      <c r="G64" s="14">
        <v>157.0</v>
      </c>
      <c r="H64" s="14">
        <v>1.0</v>
      </c>
      <c r="I64" s="14">
        <v>29.0</v>
      </c>
    </row>
    <row r="65">
      <c r="A65" s="12">
        <f t="shared" si="7"/>
        <v>60</v>
      </c>
      <c r="B65" s="20"/>
      <c r="C65" s="14" t="s">
        <v>59</v>
      </c>
      <c r="D65" s="16" t="s">
        <v>11</v>
      </c>
      <c r="E65" s="16" t="s">
        <v>52</v>
      </c>
      <c r="F65" s="69">
        <v>1532100.0</v>
      </c>
      <c r="G65" s="14">
        <v>253.0</v>
      </c>
      <c r="H65" s="14">
        <v>111.0</v>
      </c>
      <c r="I65" s="14">
        <v>24.0</v>
      </c>
    </row>
    <row r="66">
      <c r="A66" s="12">
        <f t="shared" si="7"/>
        <v>61</v>
      </c>
      <c r="B66" s="76">
        <v>45965.0</v>
      </c>
      <c r="C66" s="14" t="s">
        <v>38</v>
      </c>
      <c r="D66" s="16" t="s">
        <v>11</v>
      </c>
      <c r="E66" s="16" t="s">
        <v>60</v>
      </c>
      <c r="F66" s="69">
        <v>876512.0</v>
      </c>
      <c r="G66" s="14">
        <v>188.0</v>
      </c>
      <c r="H66" s="14">
        <v>274.0</v>
      </c>
      <c r="I66" s="14">
        <v>36.0</v>
      </c>
    </row>
    <row r="67">
      <c r="A67" s="12">
        <f t="shared" si="7"/>
        <v>62</v>
      </c>
      <c r="B67" s="20"/>
      <c r="C67" s="14" t="s">
        <v>59</v>
      </c>
      <c r="D67" s="16" t="s">
        <v>11</v>
      </c>
      <c r="E67" s="16" t="s">
        <v>52</v>
      </c>
      <c r="F67" s="69">
        <v>2500364.0</v>
      </c>
      <c r="G67" s="14">
        <v>324.0</v>
      </c>
      <c r="H67" s="14">
        <v>190.0</v>
      </c>
      <c r="I67" s="14">
        <v>41.0</v>
      </c>
    </row>
    <row r="70">
      <c r="E70" s="58" t="s">
        <v>31</v>
      </c>
    </row>
    <row r="72">
      <c r="E72" s="58" t="s">
        <v>60</v>
      </c>
      <c r="F72" s="58" t="s">
        <v>99</v>
      </c>
    </row>
    <row r="73">
      <c r="E73" s="58" t="s">
        <v>52</v>
      </c>
      <c r="F73" s="58" t="s">
        <v>100</v>
      </c>
    </row>
    <row r="77">
      <c r="E77" s="58" t="s">
        <v>45</v>
      </c>
    </row>
    <row r="78">
      <c r="E78" s="58" t="s">
        <v>98</v>
      </c>
      <c r="F78" s="58" t="s">
        <v>101</v>
      </c>
    </row>
    <row r="79">
      <c r="E79" s="58"/>
    </row>
  </sheetData>
  <autoFilter ref="$A$1:$C$3"/>
  <mergeCells count="27">
    <mergeCell ref="A2:C3"/>
    <mergeCell ref="B8:B9"/>
    <mergeCell ref="B10:B11"/>
    <mergeCell ref="B12:B13"/>
    <mergeCell ref="B14:B15"/>
    <mergeCell ref="B16:B18"/>
    <mergeCell ref="B20:B21"/>
    <mergeCell ref="B23:B24"/>
    <mergeCell ref="B25:B26"/>
    <mergeCell ref="B27:B28"/>
    <mergeCell ref="B29:B30"/>
    <mergeCell ref="B34:B35"/>
    <mergeCell ref="B36:B37"/>
    <mergeCell ref="B38:B39"/>
    <mergeCell ref="B56:B57"/>
    <mergeCell ref="B58:B59"/>
    <mergeCell ref="B60:B61"/>
    <mergeCell ref="B62:B63"/>
    <mergeCell ref="B64:B65"/>
    <mergeCell ref="B66:B67"/>
    <mergeCell ref="B40:B41"/>
    <mergeCell ref="B42:B43"/>
    <mergeCell ref="B44:B46"/>
    <mergeCell ref="B47:B48"/>
    <mergeCell ref="B50:B51"/>
    <mergeCell ref="B52:B53"/>
    <mergeCell ref="B54:B5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2">
      <c r="A2" s="3" t="s">
        <v>0</v>
      </c>
      <c r="B2" s="4"/>
      <c r="C2" s="5"/>
    </row>
    <row r="3">
      <c r="A3" s="6"/>
      <c r="B3" s="7"/>
      <c r="C3" s="8"/>
    </row>
    <row r="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10" t="s">
        <v>6</v>
      </c>
      <c r="G5" s="9" t="s">
        <v>7</v>
      </c>
      <c r="H5" s="9" t="s">
        <v>8</v>
      </c>
      <c r="I5" s="75" t="s">
        <v>58</v>
      </c>
    </row>
    <row r="6">
      <c r="A6" s="14">
        <v>1.0</v>
      </c>
      <c r="B6" s="76">
        <v>45966.0</v>
      </c>
      <c r="C6" s="14" t="s">
        <v>38</v>
      </c>
      <c r="D6" s="16" t="s">
        <v>11</v>
      </c>
      <c r="E6" s="16" t="s">
        <v>60</v>
      </c>
      <c r="F6" s="24">
        <v>0.0</v>
      </c>
      <c r="G6" s="25">
        <v>135.0</v>
      </c>
      <c r="H6" s="18">
        <v>139.0</v>
      </c>
      <c r="I6" s="14">
        <v>21.0</v>
      </c>
    </row>
    <row r="7">
      <c r="A7" s="14">
        <v>2.0</v>
      </c>
      <c r="B7" s="20"/>
      <c r="C7" s="14" t="s">
        <v>59</v>
      </c>
      <c r="D7" s="16" t="s">
        <v>11</v>
      </c>
      <c r="E7" s="16" t="s">
        <v>52</v>
      </c>
      <c r="F7" s="24">
        <v>0.0</v>
      </c>
      <c r="G7" s="25">
        <v>168.0</v>
      </c>
      <c r="H7" s="18">
        <v>301.0</v>
      </c>
      <c r="I7" s="14">
        <v>34.0</v>
      </c>
    </row>
    <row r="8">
      <c r="A8" s="14">
        <v>3.0</v>
      </c>
      <c r="B8" s="76">
        <v>45967.0</v>
      </c>
      <c r="C8" s="78" t="s">
        <v>38</v>
      </c>
      <c r="D8" s="16" t="s">
        <v>11</v>
      </c>
      <c r="E8" s="16" t="s">
        <v>60</v>
      </c>
      <c r="F8" s="24">
        <v>1684630.0</v>
      </c>
      <c r="G8" s="18">
        <v>185.0</v>
      </c>
      <c r="H8" s="18">
        <v>113.0</v>
      </c>
      <c r="I8" s="14">
        <v>38.0</v>
      </c>
    </row>
    <row r="9">
      <c r="A9" s="14">
        <v>4.0</v>
      </c>
      <c r="B9" s="20"/>
      <c r="C9" s="78" t="s">
        <v>59</v>
      </c>
      <c r="D9" s="15" t="s">
        <v>11</v>
      </c>
      <c r="E9" s="16" t="s">
        <v>52</v>
      </c>
      <c r="F9" s="17">
        <v>1024354.0</v>
      </c>
      <c r="G9" s="18">
        <v>370.0</v>
      </c>
      <c r="H9" s="18">
        <v>200.0</v>
      </c>
      <c r="I9" s="14">
        <v>31.0</v>
      </c>
    </row>
    <row r="10">
      <c r="A10" s="14">
        <v>5.0</v>
      </c>
      <c r="B10" s="76">
        <v>45968.0</v>
      </c>
      <c r="C10" s="14" t="s">
        <v>38</v>
      </c>
      <c r="D10" s="15" t="s">
        <v>11</v>
      </c>
      <c r="E10" s="16" t="s">
        <v>60</v>
      </c>
      <c r="F10" s="17">
        <v>0.0</v>
      </c>
      <c r="G10" s="18">
        <v>216.0</v>
      </c>
      <c r="H10" s="18">
        <v>114.0</v>
      </c>
      <c r="I10" s="14">
        <v>80.0</v>
      </c>
    </row>
    <row r="11">
      <c r="A11" s="14">
        <v>6.0</v>
      </c>
      <c r="B11" s="20"/>
      <c r="C11" s="14" t="s">
        <v>59</v>
      </c>
      <c r="D11" s="15" t="s">
        <v>11</v>
      </c>
      <c r="E11" s="16" t="s">
        <v>52</v>
      </c>
      <c r="F11" s="17">
        <v>951968.0</v>
      </c>
      <c r="G11" s="18">
        <v>258.0</v>
      </c>
      <c r="H11" s="18">
        <v>200.0</v>
      </c>
      <c r="I11" s="14">
        <v>49.0</v>
      </c>
    </row>
    <row r="12">
      <c r="A12" s="14">
        <v>7.0</v>
      </c>
      <c r="B12" s="93">
        <v>45969.0</v>
      </c>
      <c r="C12" s="14" t="s">
        <v>59</v>
      </c>
      <c r="D12" s="15" t="s">
        <v>11</v>
      </c>
      <c r="E12" s="16" t="s">
        <v>52</v>
      </c>
      <c r="F12" s="82">
        <v>1069048.0</v>
      </c>
      <c r="G12" s="18">
        <v>312.0</v>
      </c>
      <c r="H12" s="18">
        <v>98.0</v>
      </c>
      <c r="I12" s="14">
        <v>40.0</v>
      </c>
    </row>
    <row r="13">
      <c r="A13" s="14">
        <v>8.0</v>
      </c>
      <c r="B13" s="93">
        <v>45970.0</v>
      </c>
      <c r="C13" s="78" t="s">
        <v>59</v>
      </c>
      <c r="D13" s="15" t="s">
        <v>11</v>
      </c>
      <c r="E13" s="16" t="s">
        <v>52</v>
      </c>
      <c r="F13" s="24">
        <v>4154878.0</v>
      </c>
      <c r="G13" s="18">
        <v>452.0</v>
      </c>
      <c r="H13" s="60">
        <v>380.0</v>
      </c>
      <c r="I13" s="14">
        <v>59.0</v>
      </c>
    </row>
    <row r="14" ht="13.5" customHeight="1">
      <c r="A14" s="14">
        <v>9.0</v>
      </c>
      <c r="B14" s="76">
        <v>45971.0</v>
      </c>
      <c r="C14" s="78" t="s">
        <v>38</v>
      </c>
      <c r="D14" s="15" t="s">
        <v>11</v>
      </c>
      <c r="E14" s="16" t="s">
        <v>60</v>
      </c>
      <c r="F14" s="24">
        <v>4107444.0</v>
      </c>
      <c r="G14" s="18">
        <v>181.0</v>
      </c>
      <c r="H14" s="18">
        <v>400.0</v>
      </c>
      <c r="I14" s="14">
        <v>48.0</v>
      </c>
    </row>
    <row r="15">
      <c r="A15" s="14">
        <v>10.0</v>
      </c>
      <c r="B15" s="21"/>
      <c r="C15" s="78" t="s">
        <v>61</v>
      </c>
      <c r="D15" s="15" t="s">
        <v>11</v>
      </c>
      <c r="E15" s="16" t="s">
        <v>52</v>
      </c>
      <c r="F15" s="24">
        <v>7498185.0</v>
      </c>
      <c r="G15" s="18">
        <v>368.0</v>
      </c>
      <c r="H15" s="18">
        <v>117.0</v>
      </c>
      <c r="I15" s="14">
        <v>40.0</v>
      </c>
    </row>
    <row r="16">
      <c r="A16" s="14">
        <v>11.0</v>
      </c>
      <c r="B16" s="90">
        <v>45972.0</v>
      </c>
      <c r="C16" s="78" t="s">
        <v>38</v>
      </c>
      <c r="D16" s="15" t="s">
        <v>11</v>
      </c>
      <c r="E16" s="16" t="s">
        <v>60</v>
      </c>
      <c r="F16" s="24">
        <v>5115887.0</v>
      </c>
      <c r="G16" s="25">
        <v>280.0</v>
      </c>
      <c r="H16" s="25">
        <v>44.0</v>
      </c>
      <c r="I16" s="14">
        <v>45.0</v>
      </c>
    </row>
    <row r="17">
      <c r="A17" s="14">
        <v>12.0</v>
      </c>
      <c r="B17" s="21"/>
      <c r="C17" s="78" t="s">
        <v>40</v>
      </c>
      <c r="D17" s="15" t="s">
        <v>11</v>
      </c>
      <c r="E17" s="16" t="s">
        <v>60</v>
      </c>
      <c r="F17" s="17">
        <v>776413.0</v>
      </c>
      <c r="G17" s="25">
        <v>331.0</v>
      </c>
      <c r="H17" s="25">
        <v>88.0</v>
      </c>
      <c r="I17" s="14">
        <v>72.0</v>
      </c>
    </row>
    <row r="18">
      <c r="A18" s="14">
        <v>13.0</v>
      </c>
      <c r="B18" s="21"/>
      <c r="C18" s="78" t="s">
        <v>59</v>
      </c>
      <c r="D18" s="15" t="s">
        <v>11</v>
      </c>
      <c r="E18" s="16" t="s">
        <v>52</v>
      </c>
      <c r="F18" s="17">
        <v>1689324.0</v>
      </c>
      <c r="G18" s="25">
        <v>362.0</v>
      </c>
      <c r="H18" s="25">
        <v>111.0</v>
      </c>
      <c r="I18" s="14">
        <v>53.0</v>
      </c>
    </row>
    <row r="19">
      <c r="A19" s="14">
        <v>14.0</v>
      </c>
      <c r="B19" s="76">
        <v>45973.0</v>
      </c>
      <c r="C19" s="14" t="s">
        <v>38</v>
      </c>
      <c r="D19" s="16" t="s">
        <v>11</v>
      </c>
      <c r="E19" s="16" t="s">
        <v>60</v>
      </c>
      <c r="F19" s="24">
        <v>2809140.0</v>
      </c>
      <c r="G19" s="25">
        <v>214.0</v>
      </c>
      <c r="H19" s="25">
        <v>204.0</v>
      </c>
      <c r="I19" s="14">
        <v>50.0</v>
      </c>
    </row>
    <row r="20">
      <c r="A20" s="14">
        <v>15.0</v>
      </c>
      <c r="B20" s="21"/>
      <c r="C20" s="78" t="s">
        <v>34</v>
      </c>
      <c r="D20" s="15" t="s">
        <v>11</v>
      </c>
      <c r="E20" s="16" t="s">
        <v>60</v>
      </c>
      <c r="F20" s="24">
        <v>2509315.0</v>
      </c>
      <c r="G20" s="25">
        <v>413.0</v>
      </c>
      <c r="H20" s="25">
        <v>355.0</v>
      </c>
      <c r="I20" s="14">
        <v>66.0</v>
      </c>
    </row>
    <row r="21">
      <c r="A21" s="14">
        <v>16.0</v>
      </c>
      <c r="B21" s="21"/>
      <c r="C21" s="78" t="s">
        <v>59</v>
      </c>
      <c r="D21" s="15" t="s">
        <v>11</v>
      </c>
      <c r="E21" s="16" t="s">
        <v>52</v>
      </c>
      <c r="F21" s="24">
        <v>3517530.0</v>
      </c>
      <c r="G21" s="25">
        <v>300.0</v>
      </c>
      <c r="H21" s="25">
        <v>116.0</v>
      </c>
      <c r="I21" s="14">
        <v>37.0</v>
      </c>
    </row>
    <row r="22">
      <c r="A22" s="14">
        <v>17.0</v>
      </c>
      <c r="B22" s="76">
        <v>45974.0</v>
      </c>
      <c r="C22" s="78" t="s">
        <v>38</v>
      </c>
      <c r="D22" s="16" t="s">
        <v>11</v>
      </c>
      <c r="E22" s="16" t="s">
        <v>60</v>
      </c>
      <c r="F22" s="24">
        <v>2567632.0</v>
      </c>
      <c r="G22" s="25">
        <v>378.0</v>
      </c>
      <c r="H22" s="25">
        <v>575.0</v>
      </c>
      <c r="I22" s="14">
        <v>63.0</v>
      </c>
    </row>
    <row r="23">
      <c r="A23" s="14">
        <v>18.0</v>
      </c>
      <c r="B23" s="20"/>
      <c r="C23" s="78" t="s">
        <v>59</v>
      </c>
      <c r="D23" s="16" t="s">
        <v>11</v>
      </c>
      <c r="E23" s="16" t="s">
        <v>52</v>
      </c>
      <c r="F23" s="24">
        <v>2078309.0</v>
      </c>
      <c r="G23" s="25">
        <v>480.0</v>
      </c>
      <c r="H23" s="25">
        <v>556.0</v>
      </c>
      <c r="I23" s="14">
        <v>40.0</v>
      </c>
    </row>
    <row r="24">
      <c r="A24" s="14">
        <v>19.0</v>
      </c>
      <c r="B24" s="76">
        <v>45975.0</v>
      </c>
      <c r="C24" s="14" t="s">
        <v>38</v>
      </c>
      <c r="D24" s="16" t="s">
        <v>11</v>
      </c>
      <c r="E24" s="16" t="s">
        <v>60</v>
      </c>
      <c r="F24" s="24">
        <v>0.0</v>
      </c>
      <c r="G24" s="25">
        <v>253.0</v>
      </c>
      <c r="H24" s="25">
        <v>10.0</v>
      </c>
      <c r="I24" s="14">
        <v>42.0</v>
      </c>
    </row>
    <row r="25">
      <c r="A25" s="14">
        <v>20.0</v>
      </c>
      <c r="B25" s="20"/>
      <c r="C25" s="14" t="s">
        <v>59</v>
      </c>
      <c r="D25" s="16" t="s">
        <v>11</v>
      </c>
      <c r="E25" s="16" t="s">
        <v>52</v>
      </c>
      <c r="F25" s="24">
        <v>1875077.0</v>
      </c>
      <c r="G25" s="25">
        <v>295.0</v>
      </c>
      <c r="H25" s="25">
        <v>118.0</v>
      </c>
      <c r="I25" s="14">
        <v>33.0</v>
      </c>
    </row>
    <row r="26">
      <c r="A26" s="14">
        <v>21.0</v>
      </c>
      <c r="B26" s="76">
        <v>45976.0</v>
      </c>
      <c r="C26" s="78" t="s">
        <v>38</v>
      </c>
      <c r="D26" s="16" t="s">
        <v>11</v>
      </c>
      <c r="E26" s="16" t="s">
        <v>60</v>
      </c>
      <c r="F26" s="24">
        <v>3024624.0</v>
      </c>
      <c r="G26" s="25">
        <v>228.0</v>
      </c>
      <c r="H26" s="25">
        <v>200.0</v>
      </c>
      <c r="I26" s="14">
        <v>27.0</v>
      </c>
    </row>
    <row r="27">
      <c r="A27" s="14">
        <v>22.0</v>
      </c>
      <c r="B27" s="20"/>
      <c r="C27" s="78" t="s">
        <v>59</v>
      </c>
      <c r="D27" s="15" t="s">
        <v>11</v>
      </c>
      <c r="E27" s="16" t="s">
        <v>52</v>
      </c>
      <c r="F27" s="24">
        <v>1927700.0</v>
      </c>
      <c r="G27" s="25">
        <v>320.0</v>
      </c>
      <c r="H27" s="25">
        <v>80.0</v>
      </c>
      <c r="I27" s="14">
        <v>26.0</v>
      </c>
    </row>
    <row r="28">
      <c r="A28" s="14">
        <v>23.0</v>
      </c>
      <c r="B28" s="76">
        <v>45977.0</v>
      </c>
      <c r="C28" s="78" t="s">
        <v>62</v>
      </c>
      <c r="D28" s="16" t="s">
        <v>11</v>
      </c>
      <c r="E28" s="16" t="s">
        <v>60</v>
      </c>
      <c r="F28" s="24">
        <v>2171000.0</v>
      </c>
      <c r="G28" s="25">
        <v>228.0</v>
      </c>
      <c r="H28" s="25">
        <v>211.0</v>
      </c>
      <c r="I28" s="14">
        <v>39.0</v>
      </c>
    </row>
    <row r="29">
      <c r="A29" s="14">
        <v>24.0</v>
      </c>
      <c r="B29" s="20"/>
      <c r="C29" s="78" t="s">
        <v>61</v>
      </c>
      <c r="D29" s="16" t="s">
        <v>11</v>
      </c>
      <c r="E29" s="16" t="s">
        <v>52</v>
      </c>
      <c r="F29" s="24">
        <v>946524.0</v>
      </c>
      <c r="G29" s="25">
        <v>224.0</v>
      </c>
      <c r="H29" s="25">
        <v>10.0</v>
      </c>
      <c r="I29" s="14">
        <v>25.0</v>
      </c>
    </row>
    <row r="30">
      <c r="A30" s="14">
        <v>25.0</v>
      </c>
      <c r="B30" s="90">
        <v>45978.0</v>
      </c>
      <c r="C30" s="14" t="s">
        <v>62</v>
      </c>
      <c r="D30" s="16" t="s">
        <v>11</v>
      </c>
      <c r="E30" s="16" t="s">
        <v>60</v>
      </c>
      <c r="F30" s="24">
        <v>0.0</v>
      </c>
      <c r="G30" s="25">
        <v>122.0</v>
      </c>
      <c r="H30" s="25">
        <v>0.0</v>
      </c>
      <c r="I30" s="14">
        <v>27.0</v>
      </c>
    </row>
    <row r="31">
      <c r="A31" s="14">
        <v>26.0</v>
      </c>
      <c r="B31" s="21"/>
      <c r="C31" s="78" t="s">
        <v>59</v>
      </c>
      <c r="D31" s="15" t="s">
        <v>11</v>
      </c>
      <c r="E31" s="16" t="s">
        <v>52</v>
      </c>
      <c r="F31" s="24">
        <v>0.0</v>
      </c>
      <c r="G31" s="25">
        <v>203.0</v>
      </c>
      <c r="H31" s="25">
        <v>11.0</v>
      </c>
      <c r="I31" s="14">
        <v>8.0</v>
      </c>
    </row>
    <row r="32">
      <c r="A32" s="14">
        <v>27.0</v>
      </c>
      <c r="B32" s="76">
        <v>45979.0</v>
      </c>
      <c r="C32" s="78" t="s">
        <v>38</v>
      </c>
      <c r="D32" s="16" t="s">
        <v>11</v>
      </c>
      <c r="E32" s="16" t="s">
        <v>60</v>
      </c>
      <c r="F32" s="24">
        <v>1012160.0</v>
      </c>
      <c r="G32" s="25">
        <v>133.0</v>
      </c>
      <c r="H32" s="25">
        <v>89.0</v>
      </c>
      <c r="I32" s="14">
        <v>40.0</v>
      </c>
    </row>
    <row r="33">
      <c r="A33" s="14">
        <v>28.0</v>
      </c>
      <c r="B33" s="21"/>
      <c r="C33" s="78" t="s">
        <v>59</v>
      </c>
      <c r="D33" s="16" t="s">
        <v>11</v>
      </c>
      <c r="E33" s="16" t="s">
        <v>52</v>
      </c>
      <c r="F33" s="24">
        <v>3696846.0</v>
      </c>
      <c r="G33" s="25">
        <v>190.0</v>
      </c>
      <c r="H33" s="25">
        <v>380.0</v>
      </c>
      <c r="I33" s="14">
        <v>54.0</v>
      </c>
    </row>
    <row r="34">
      <c r="A34" s="14">
        <v>29.0</v>
      </c>
      <c r="B34" s="76">
        <v>45980.0</v>
      </c>
      <c r="C34" s="14" t="s">
        <v>38</v>
      </c>
      <c r="D34" s="16" t="s">
        <v>11</v>
      </c>
      <c r="E34" s="16" t="s">
        <v>60</v>
      </c>
      <c r="F34" s="24">
        <v>4153323.0</v>
      </c>
      <c r="G34" s="25">
        <v>203.0</v>
      </c>
      <c r="H34" s="25">
        <v>46.0</v>
      </c>
      <c r="I34" s="14">
        <v>54.0</v>
      </c>
    </row>
    <row r="35">
      <c r="A35" s="14">
        <v>30.0</v>
      </c>
      <c r="B35" s="20"/>
      <c r="C35" s="14" t="s">
        <v>59</v>
      </c>
      <c r="D35" s="16" t="s">
        <v>11</v>
      </c>
      <c r="E35" s="16" t="s">
        <v>52</v>
      </c>
      <c r="F35" s="24">
        <v>1309403.0</v>
      </c>
      <c r="G35" s="25">
        <v>204.0</v>
      </c>
      <c r="H35" s="25">
        <v>14.0</v>
      </c>
      <c r="I35" s="14">
        <v>38.0</v>
      </c>
    </row>
    <row r="36">
      <c r="A36" s="14">
        <v>31.0</v>
      </c>
      <c r="B36" s="76">
        <v>45981.0</v>
      </c>
      <c r="C36" s="78" t="s">
        <v>38</v>
      </c>
      <c r="D36" s="16" t="s">
        <v>11</v>
      </c>
      <c r="E36" s="16" t="s">
        <v>60</v>
      </c>
      <c r="F36" s="24">
        <v>1503194.0</v>
      </c>
      <c r="G36" s="25">
        <v>121.0</v>
      </c>
      <c r="H36" s="25">
        <v>240.0</v>
      </c>
      <c r="I36" s="14">
        <v>20.0</v>
      </c>
    </row>
    <row r="37">
      <c r="A37" s="14">
        <v>32.0</v>
      </c>
      <c r="B37" s="20"/>
      <c r="C37" s="78" t="s">
        <v>59</v>
      </c>
      <c r="D37" s="15" t="s">
        <v>11</v>
      </c>
      <c r="E37" s="16" t="s">
        <v>52</v>
      </c>
      <c r="F37" s="24">
        <v>1685232.0</v>
      </c>
      <c r="G37" s="25">
        <v>191.0</v>
      </c>
      <c r="H37" s="25">
        <v>190.0</v>
      </c>
      <c r="I37" s="14">
        <v>23.0</v>
      </c>
    </row>
    <row r="38">
      <c r="A38" s="14">
        <v>33.0</v>
      </c>
      <c r="B38" s="76">
        <v>45982.0</v>
      </c>
      <c r="C38" s="78" t="s">
        <v>38</v>
      </c>
      <c r="D38" s="16" t="s">
        <v>11</v>
      </c>
      <c r="E38" s="16" t="s">
        <v>60</v>
      </c>
      <c r="F38" s="24">
        <v>1245534.0</v>
      </c>
      <c r="G38" s="25">
        <v>280.0</v>
      </c>
      <c r="H38" s="62">
        <v>480.0</v>
      </c>
      <c r="I38" s="14">
        <v>61.0</v>
      </c>
    </row>
    <row r="39">
      <c r="A39" s="14">
        <v>34.0</v>
      </c>
      <c r="B39" s="20"/>
      <c r="C39" s="78" t="s">
        <v>59</v>
      </c>
      <c r="D39" s="16" t="s">
        <v>11</v>
      </c>
      <c r="E39" s="16" t="s">
        <v>52</v>
      </c>
      <c r="F39" s="24">
        <v>517230.0</v>
      </c>
      <c r="G39" s="25">
        <v>369.0</v>
      </c>
      <c r="H39" s="25">
        <v>85.0</v>
      </c>
      <c r="I39" s="14">
        <v>53.0</v>
      </c>
    </row>
    <row r="40">
      <c r="A40" s="14">
        <v>35.0</v>
      </c>
      <c r="B40" s="93">
        <v>45983.0</v>
      </c>
      <c r="C40" s="14" t="s">
        <v>59</v>
      </c>
      <c r="D40" s="16" t="s">
        <v>11</v>
      </c>
      <c r="E40" s="16" t="s">
        <v>52</v>
      </c>
      <c r="F40" s="24">
        <v>512330.0</v>
      </c>
      <c r="G40" s="25">
        <v>259.0</v>
      </c>
      <c r="H40" s="25">
        <v>100.0</v>
      </c>
      <c r="I40" s="14">
        <v>35.0</v>
      </c>
    </row>
    <row r="41">
      <c r="A41" s="14">
        <v>36.0</v>
      </c>
      <c r="B41" s="93">
        <v>45984.0</v>
      </c>
      <c r="C41" s="78" t="s">
        <v>59</v>
      </c>
      <c r="D41" s="15" t="s">
        <v>11</v>
      </c>
      <c r="E41" s="16" t="s">
        <v>52</v>
      </c>
      <c r="F41" s="24">
        <v>2808250.0</v>
      </c>
      <c r="G41" s="25">
        <v>319.0</v>
      </c>
      <c r="H41" s="25">
        <v>300.0</v>
      </c>
      <c r="I41" s="14">
        <v>47.0</v>
      </c>
    </row>
    <row r="42">
      <c r="A42" s="14">
        <v>37.0</v>
      </c>
      <c r="B42" s="76">
        <v>45985.0</v>
      </c>
      <c r="C42" s="78" t="s">
        <v>38</v>
      </c>
      <c r="D42" s="16" t="s">
        <v>11</v>
      </c>
      <c r="E42" s="16" t="s">
        <v>60</v>
      </c>
      <c r="F42" s="24">
        <v>1575312.0</v>
      </c>
      <c r="G42" s="25">
        <v>140.0</v>
      </c>
      <c r="H42" s="25">
        <v>140.0</v>
      </c>
      <c r="I42" s="14">
        <v>38.0</v>
      </c>
    </row>
    <row r="43">
      <c r="A43" s="14">
        <v>38.0</v>
      </c>
      <c r="B43" s="20"/>
      <c r="C43" s="78" t="s">
        <v>59</v>
      </c>
      <c r="D43" s="15" t="s">
        <v>11</v>
      </c>
      <c r="E43" s="16" t="s">
        <v>52</v>
      </c>
      <c r="F43" s="24">
        <v>706900.0</v>
      </c>
      <c r="G43" s="25">
        <v>216.0</v>
      </c>
      <c r="H43" s="25">
        <v>10.0</v>
      </c>
      <c r="I43" s="14">
        <v>19.0</v>
      </c>
    </row>
    <row r="44">
      <c r="A44" s="14">
        <v>39.0</v>
      </c>
      <c r="B44" s="76">
        <v>45986.0</v>
      </c>
      <c r="C44" s="78" t="s">
        <v>62</v>
      </c>
      <c r="D44" s="15" t="s">
        <v>11</v>
      </c>
      <c r="E44" s="16" t="s">
        <v>60</v>
      </c>
      <c r="F44" s="24">
        <v>3788442.0</v>
      </c>
      <c r="G44" s="25">
        <v>151.0</v>
      </c>
      <c r="H44" s="25">
        <v>110.0</v>
      </c>
      <c r="I44" s="14">
        <v>49.0</v>
      </c>
    </row>
    <row r="45">
      <c r="A45" s="14">
        <v>40.0</v>
      </c>
      <c r="B45" s="21"/>
      <c r="C45" s="78" t="s">
        <v>34</v>
      </c>
      <c r="D45" s="15" t="s">
        <v>11</v>
      </c>
      <c r="E45" s="16" t="s">
        <v>60</v>
      </c>
      <c r="F45" s="24">
        <v>4393785.0</v>
      </c>
      <c r="G45" s="25">
        <v>248.0</v>
      </c>
      <c r="H45" s="25">
        <v>225.0</v>
      </c>
      <c r="I45" s="14">
        <v>39.0</v>
      </c>
    </row>
    <row r="46">
      <c r="A46" s="14">
        <v>41.0</v>
      </c>
      <c r="B46" s="20"/>
      <c r="C46" s="78" t="s">
        <v>61</v>
      </c>
      <c r="D46" s="15" t="s">
        <v>11</v>
      </c>
      <c r="E46" s="16" t="s">
        <v>52</v>
      </c>
      <c r="F46" s="24">
        <v>5506145.0</v>
      </c>
      <c r="G46" s="25">
        <v>287.0</v>
      </c>
      <c r="H46" s="25">
        <v>80.0</v>
      </c>
      <c r="I46" s="14">
        <v>74.0</v>
      </c>
    </row>
    <row r="47">
      <c r="A47" s="14">
        <v>42.0</v>
      </c>
      <c r="B47" s="76">
        <v>45987.0</v>
      </c>
      <c r="C47" s="78" t="s">
        <v>38</v>
      </c>
      <c r="D47" s="16" t="s">
        <v>11</v>
      </c>
      <c r="E47" s="16" t="s">
        <v>60</v>
      </c>
      <c r="F47" s="24">
        <v>1004846.0</v>
      </c>
      <c r="G47" s="25">
        <v>186.0</v>
      </c>
      <c r="H47" s="25">
        <v>188.0</v>
      </c>
      <c r="I47" s="14">
        <v>32.0</v>
      </c>
    </row>
    <row r="48">
      <c r="A48" s="14">
        <v>43.0</v>
      </c>
      <c r="B48" s="21"/>
      <c r="C48" s="78" t="s">
        <v>34</v>
      </c>
      <c r="D48" s="16" t="s">
        <v>11</v>
      </c>
      <c r="E48" s="16" t="s">
        <v>60</v>
      </c>
      <c r="F48" s="24">
        <v>2121717.0</v>
      </c>
      <c r="G48" s="25">
        <v>217.0</v>
      </c>
      <c r="H48" s="25">
        <v>202.0</v>
      </c>
      <c r="I48" s="14">
        <v>66.0</v>
      </c>
    </row>
    <row r="49">
      <c r="A49" s="14">
        <v>44.0</v>
      </c>
      <c r="B49" s="20"/>
      <c r="C49" s="78" t="s">
        <v>61</v>
      </c>
      <c r="D49" s="16" t="s">
        <v>11</v>
      </c>
      <c r="E49" s="16" t="s">
        <v>52</v>
      </c>
      <c r="F49" s="24">
        <v>2904348.0</v>
      </c>
      <c r="G49" s="25">
        <v>266.0</v>
      </c>
      <c r="H49" s="25">
        <v>409.0</v>
      </c>
      <c r="I49" s="14">
        <v>71.0</v>
      </c>
    </row>
    <row r="50">
      <c r="A50" s="14">
        <v>45.0</v>
      </c>
      <c r="B50" s="76">
        <v>45988.0</v>
      </c>
      <c r="C50" s="14" t="s">
        <v>38</v>
      </c>
      <c r="D50" s="16" t="s">
        <v>11</v>
      </c>
      <c r="E50" s="16" t="s">
        <v>60</v>
      </c>
      <c r="F50" s="24">
        <v>1056186.0</v>
      </c>
      <c r="G50" s="25">
        <v>240.0</v>
      </c>
      <c r="H50" s="25">
        <v>11.0</v>
      </c>
      <c r="I50" s="14">
        <v>89.0</v>
      </c>
    </row>
    <row r="51">
      <c r="A51" s="14">
        <v>46.0</v>
      </c>
      <c r="B51" s="20"/>
      <c r="C51" s="14" t="s">
        <v>59</v>
      </c>
      <c r="D51" s="16" t="s">
        <v>11</v>
      </c>
      <c r="E51" s="16" t="s">
        <v>52</v>
      </c>
      <c r="F51" s="24">
        <v>1091700.0</v>
      </c>
      <c r="G51" s="25">
        <v>350.0</v>
      </c>
      <c r="H51" s="25">
        <v>81.0</v>
      </c>
      <c r="I51" s="14">
        <v>39.0</v>
      </c>
    </row>
    <row r="52">
      <c r="A52" s="14">
        <v>47.0</v>
      </c>
      <c r="B52" s="76">
        <v>45989.0</v>
      </c>
      <c r="C52" s="78" t="s">
        <v>38</v>
      </c>
      <c r="D52" s="16" t="s">
        <v>11</v>
      </c>
      <c r="E52" s="16" t="s">
        <v>60</v>
      </c>
      <c r="F52" s="24">
        <v>1510749.0</v>
      </c>
      <c r="G52" s="25">
        <v>331.0</v>
      </c>
      <c r="H52" s="25">
        <v>116.0</v>
      </c>
      <c r="I52" s="14">
        <v>65.0</v>
      </c>
    </row>
    <row r="53">
      <c r="A53" s="14">
        <v>48.0</v>
      </c>
      <c r="B53" s="20"/>
      <c r="C53" s="78" t="s">
        <v>59</v>
      </c>
      <c r="D53" s="15" t="s">
        <v>11</v>
      </c>
      <c r="E53" s="16" t="s">
        <v>52</v>
      </c>
      <c r="F53" s="24">
        <v>770584.0</v>
      </c>
      <c r="G53" s="25">
        <v>264.0</v>
      </c>
      <c r="H53" s="25">
        <v>63.0</v>
      </c>
      <c r="I53" s="14">
        <v>40.0</v>
      </c>
    </row>
    <row r="54">
      <c r="A54" s="14">
        <v>49.0</v>
      </c>
      <c r="B54" s="76">
        <v>45990.0</v>
      </c>
      <c r="C54" s="78" t="s">
        <v>38</v>
      </c>
      <c r="D54" s="16" t="s">
        <v>11</v>
      </c>
      <c r="E54" s="16" t="s">
        <v>60</v>
      </c>
      <c r="F54" s="24">
        <v>2097044.0</v>
      </c>
      <c r="G54" s="25">
        <v>195.0</v>
      </c>
      <c r="H54" s="25">
        <v>206.0</v>
      </c>
      <c r="I54" s="14">
        <v>59.0</v>
      </c>
    </row>
    <row r="55">
      <c r="A55" s="14">
        <v>50.0</v>
      </c>
      <c r="B55" s="20"/>
      <c r="C55" s="78" t="s">
        <v>59</v>
      </c>
      <c r="D55" s="16" t="s">
        <v>11</v>
      </c>
      <c r="E55" s="16" t="s">
        <v>52</v>
      </c>
      <c r="F55" s="24">
        <v>3412420.0</v>
      </c>
      <c r="G55" s="25">
        <v>272.0</v>
      </c>
      <c r="H55" s="25">
        <v>169.0</v>
      </c>
      <c r="I55" s="14">
        <v>37.0</v>
      </c>
    </row>
    <row r="56">
      <c r="A56" s="14">
        <v>51.0</v>
      </c>
      <c r="B56" s="76">
        <v>45991.0</v>
      </c>
      <c r="C56" s="14" t="s">
        <v>38</v>
      </c>
      <c r="D56" s="16" t="s">
        <v>11</v>
      </c>
      <c r="E56" s="16" t="s">
        <v>60</v>
      </c>
      <c r="F56" s="69">
        <v>1435199.0</v>
      </c>
      <c r="G56" s="14">
        <v>356.0</v>
      </c>
      <c r="H56" s="14">
        <v>208.0</v>
      </c>
      <c r="I56" s="14">
        <v>60.0</v>
      </c>
    </row>
    <row r="57">
      <c r="A57" s="14">
        <v>52.0</v>
      </c>
      <c r="B57" s="20"/>
      <c r="C57" s="14" t="s">
        <v>59</v>
      </c>
      <c r="D57" s="16" t="s">
        <v>11</v>
      </c>
      <c r="E57" s="16" t="s">
        <v>52</v>
      </c>
      <c r="F57" s="69">
        <v>6041905.0</v>
      </c>
      <c r="G57" s="14">
        <v>385.0</v>
      </c>
      <c r="H57" s="14">
        <v>608.0</v>
      </c>
      <c r="I57" s="14">
        <v>74.0</v>
      </c>
    </row>
    <row r="58">
      <c r="A58" s="14">
        <v>53.0</v>
      </c>
      <c r="B58" s="76">
        <v>45992.0</v>
      </c>
      <c r="C58" s="78" t="s">
        <v>38</v>
      </c>
      <c r="D58" s="16" t="s">
        <v>11</v>
      </c>
      <c r="E58" s="16" t="s">
        <v>60</v>
      </c>
      <c r="F58" s="24">
        <v>474340.0</v>
      </c>
      <c r="G58" s="25">
        <v>179.0</v>
      </c>
      <c r="H58" s="25">
        <v>247.0</v>
      </c>
      <c r="I58" s="14">
        <v>37.0</v>
      </c>
    </row>
    <row r="59">
      <c r="A59" s="14">
        <v>54.0</v>
      </c>
      <c r="B59" s="20"/>
      <c r="C59" s="78" t="s">
        <v>59</v>
      </c>
      <c r="D59" s="15" t="s">
        <v>11</v>
      </c>
      <c r="E59" s="16" t="s">
        <v>52</v>
      </c>
      <c r="F59" s="24">
        <v>1535250.0</v>
      </c>
      <c r="G59" s="25">
        <v>306.0</v>
      </c>
      <c r="H59" s="25">
        <v>200.0</v>
      </c>
      <c r="I59" s="14">
        <v>57.0</v>
      </c>
    </row>
    <row r="60">
      <c r="A60" s="14">
        <v>55.0</v>
      </c>
      <c r="B60" s="76">
        <v>45993.0</v>
      </c>
      <c r="C60" s="78" t="s">
        <v>38</v>
      </c>
      <c r="D60" s="16" t="s">
        <v>11</v>
      </c>
      <c r="E60" s="16" t="s">
        <v>60</v>
      </c>
      <c r="F60" s="24">
        <v>3334816.0</v>
      </c>
      <c r="G60" s="25">
        <v>263.0</v>
      </c>
      <c r="H60" s="62">
        <v>372.0</v>
      </c>
      <c r="I60" s="14">
        <v>57.0</v>
      </c>
    </row>
    <row r="61">
      <c r="A61" s="14">
        <v>56.0</v>
      </c>
      <c r="B61" s="20"/>
      <c r="C61" s="78" t="s">
        <v>59</v>
      </c>
      <c r="D61" s="16" t="s">
        <v>11</v>
      </c>
      <c r="E61" s="16" t="s">
        <v>52</v>
      </c>
      <c r="F61" s="24">
        <v>2681200.0</v>
      </c>
      <c r="G61" s="25">
        <v>349.0</v>
      </c>
      <c r="H61" s="25">
        <v>108.0</v>
      </c>
      <c r="I61" s="14">
        <v>27.0</v>
      </c>
    </row>
    <row r="62">
      <c r="A62" s="14">
        <v>57.0</v>
      </c>
      <c r="B62" s="76">
        <v>45994.0</v>
      </c>
      <c r="C62" s="14" t="s">
        <v>38</v>
      </c>
      <c r="D62" s="16" t="s">
        <v>11</v>
      </c>
      <c r="E62" s="16" t="s">
        <v>60</v>
      </c>
      <c r="F62" s="69">
        <v>3524038.0</v>
      </c>
      <c r="G62" s="14">
        <v>247.0</v>
      </c>
      <c r="H62" s="14">
        <v>232.0</v>
      </c>
      <c r="I62" s="14">
        <v>64.0</v>
      </c>
    </row>
    <row r="63">
      <c r="A63" s="14">
        <v>58.0</v>
      </c>
      <c r="B63" s="20"/>
      <c r="C63" s="14" t="s">
        <v>59</v>
      </c>
      <c r="D63" s="16" t="s">
        <v>11</v>
      </c>
      <c r="E63" s="16" t="s">
        <v>52</v>
      </c>
      <c r="F63" s="69">
        <v>5048540.0</v>
      </c>
      <c r="G63" s="14">
        <v>322.0</v>
      </c>
      <c r="H63" s="14">
        <v>111.0</v>
      </c>
      <c r="I63" s="14">
        <v>24.0</v>
      </c>
    </row>
    <row r="64">
      <c r="A64" s="14">
        <v>59.0</v>
      </c>
      <c r="B64" s="76">
        <v>45995.0</v>
      </c>
      <c r="C64" s="14" t="s">
        <v>38</v>
      </c>
      <c r="D64" s="16" t="s">
        <v>11</v>
      </c>
      <c r="E64" s="16" t="s">
        <v>60</v>
      </c>
      <c r="F64" s="69">
        <v>3639855.0</v>
      </c>
      <c r="G64" s="14">
        <v>268.0</v>
      </c>
      <c r="H64" s="14">
        <v>455.0</v>
      </c>
      <c r="I64" s="14">
        <v>70.0</v>
      </c>
    </row>
    <row r="65">
      <c r="A65" s="14">
        <v>60.0</v>
      </c>
      <c r="B65" s="20"/>
      <c r="C65" s="14" t="s">
        <v>59</v>
      </c>
      <c r="D65" s="16" t="s">
        <v>11</v>
      </c>
      <c r="E65" s="16" t="s">
        <v>52</v>
      </c>
      <c r="F65" s="69">
        <v>503620.0</v>
      </c>
      <c r="G65" s="14">
        <v>272.0</v>
      </c>
      <c r="H65" s="14">
        <v>190.0</v>
      </c>
      <c r="I65" s="14">
        <v>23.0</v>
      </c>
    </row>
    <row r="71">
      <c r="E71" s="58" t="s">
        <v>31</v>
      </c>
    </row>
    <row r="73">
      <c r="E73" s="58" t="s">
        <v>60</v>
      </c>
      <c r="F73" s="58" t="s">
        <v>102</v>
      </c>
    </row>
    <row r="74">
      <c r="E74" s="58" t="s">
        <v>52</v>
      </c>
      <c r="F74" s="58" t="s">
        <v>103</v>
      </c>
    </row>
    <row r="76">
      <c r="E76" s="58" t="s">
        <v>104</v>
      </c>
      <c r="F76" s="58" t="s">
        <v>105</v>
      </c>
    </row>
    <row r="77">
      <c r="E77" s="58" t="s">
        <v>106</v>
      </c>
      <c r="F77" s="58" t="s">
        <v>107</v>
      </c>
    </row>
  </sheetData>
  <mergeCells count="27">
    <mergeCell ref="A2:C3"/>
    <mergeCell ref="B6:B7"/>
    <mergeCell ref="B8:B9"/>
    <mergeCell ref="B10:B11"/>
    <mergeCell ref="B14:B15"/>
    <mergeCell ref="B16:B18"/>
    <mergeCell ref="B19:B21"/>
    <mergeCell ref="B22:B23"/>
    <mergeCell ref="B24:B25"/>
    <mergeCell ref="B26:B27"/>
    <mergeCell ref="B28:B29"/>
    <mergeCell ref="B30:B31"/>
    <mergeCell ref="B32:B33"/>
    <mergeCell ref="B34:B35"/>
    <mergeCell ref="B54:B55"/>
    <mergeCell ref="B56:B57"/>
    <mergeCell ref="B58:B59"/>
    <mergeCell ref="B60:B61"/>
    <mergeCell ref="B62:B63"/>
    <mergeCell ref="B64:B65"/>
    <mergeCell ref="B36:B37"/>
    <mergeCell ref="B38:B39"/>
    <mergeCell ref="B42:B43"/>
    <mergeCell ref="B44:B46"/>
    <mergeCell ref="B47:B49"/>
    <mergeCell ref="B50:B51"/>
    <mergeCell ref="B52:B5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2">
      <c r="A2" s="3" t="s">
        <v>0</v>
      </c>
      <c r="B2" s="4"/>
      <c r="C2" s="5"/>
    </row>
    <row r="3">
      <c r="A3" s="6"/>
      <c r="B3" s="7"/>
      <c r="C3" s="8"/>
    </row>
    <row r="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10" t="s">
        <v>6</v>
      </c>
      <c r="G5" s="9" t="s">
        <v>7</v>
      </c>
      <c r="H5" s="9" t="s">
        <v>8</v>
      </c>
      <c r="I5" s="75" t="s">
        <v>58</v>
      </c>
    </row>
    <row r="6">
      <c r="A6" s="14">
        <v>1.0</v>
      </c>
      <c r="B6" s="76">
        <v>45996.0</v>
      </c>
      <c r="C6" s="14" t="s">
        <v>38</v>
      </c>
      <c r="D6" s="16" t="s">
        <v>11</v>
      </c>
      <c r="E6" s="16" t="s">
        <v>60</v>
      </c>
      <c r="F6" s="24">
        <v>1814110.0</v>
      </c>
      <c r="G6" s="25">
        <v>170.0</v>
      </c>
      <c r="H6" s="18">
        <v>101.0</v>
      </c>
      <c r="I6" s="14">
        <v>20.0</v>
      </c>
    </row>
    <row r="7">
      <c r="A7" s="14">
        <v>2.0</v>
      </c>
      <c r="B7" s="20"/>
      <c r="C7" s="14" t="s">
        <v>59</v>
      </c>
      <c r="D7" s="16" t="s">
        <v>11</v>
      </c>
      <c r="E7" s="16" t="s">
        <v>52</v>
      </c>
      <c r="F7" s="24">
        <v>3329060.0</v>
      </c>
      <c r="G7" s="25">
        <v>214.0</v>
      </c>
      <c r="H7" s="18">
        <v>200.0</v>
      </c>
      <c r="I7" s="14">
        <v>57.0</v>
      </c>
    </row>
    <row r="8">
      <c r="A8" s="14">
        <v>3.0</v>
      </c>
      <c r="B8" s="93">
        <v>45997.0</v>
      </c>
      <c r="C8" s="78" t="s">
        <v>59</v>
      </c>
      <c r="D8" s="15" t="s">
        <v>11</v>
      </c>
      <c r="E8" s="16" t="s">
        <v>52</v>
      </c>
      <c r="F8" s="17">
        <v>3410243.0</v>
      </c>
      <c r="G8" s="18">
        <v>233.0</v>
      </c>
      <c r="H8" s="18">
        <v>1.0</v>
      </c>
      <c r="I8" s="14">
        <v>25.0</v>
      </c>
    </row>
    <row r="9">
      <c r="A9" s="14">
        <v>4.0</v>
      </c>
      <c r="B9" s="93">
        <v>45998.0</v>
      </c>
      <c r="C9" s="14" t="s">
        <v>59</v>
      </c>
      <c r="D9" s="15" t="s">
        <v>11</v>
      </c>
      <c r="E9" s="16" t="s">
        <v>52</v>
      </c>
      <c r="F9" s="17">
        <v>965248.0</v>
      </c>
      <c r="G9" s="18">
        <v>312.0</v>
      </c>
      <c r="H9" s="18">
        <v>2.0</v>
      </c>
      <c r="I9" s="14">
        <v>24.0</v>
      </c>
    </row>
    <row r="10">
      <c r="A10" s="14">
        <v>5.0</v>
      </c>
      <c r="B10" s="76">
        <v>45999.0</v>
      </c>
      <c r="C10" s="14" t="s">
        <v>38</v>
      </c>
      <c r="D10" s="15" t="s">
        <v>11</v>
      </c>
      <c r="E10" s="16" t="s">
        <v>60</v>
      </c>
      <c r="F10" s="82">
        <v>1738376.0</v>
      </c>
      <c r="G10" s="18">
        <v>210.0</v>
      </c>
      <c r="H10" s="18">
        <v>55.0</v>
      </c>
      <c r="I10" s="14">
        <v>30.0</v>
      </c>
    </row>
    <row r="11">
      <c r="A11" s="14">
        <v>6.0</v>
      </c>
      <c r="B11" s="20"/>
      <c r="C11" s="14" t="s">
        <v>59</v>
      </c>
      <c r="D11" s="15" t="s">
        <v>11</v>
      </c>
      <c r="E11" s="16" t="s">
        <v>52</v>
      </c>
      <c r="F11" s="17">
        <v>689621.0</v>
      </c>
      <c r="G11" s="18">
        <v>244.0</v>
      </c>
      <c r="H11" s="18">
        <v>10.0</v>
      </c>
      <c r="I11" s="14">
        <v>25.0</v>
      </c>
    </row>
    <row r="12">
      <c r="A12" s="14">
        <v>7.0</v>
      </c>
      <c r="B12" s="76">
        <v>46000.0</v>
      </c>
      <c r="C12" s="14" t="s">
        <v>38</v>
      </c>
      <c r="D12" s="15" t="s">
        <v>11</v>
      </c>
      <c r="E12" s="16" t="s">
        <v>60</v>
      </c>
      <c r="F12" s="24">
        <v>2129341.0</v>
      </c>
      <c r="G12" s="18">
        <v>222.0</v>
      </c>
      <c r="H12" s="60">
        <v>122.0</v>
      </c>
      <c r="I12" s="14">
        <v>39.0</v>
      </c>
    </row>
    <row r="13">
      <c r="A13" s="14">
        <v>8.0</v>
      </c>
      <c r="B13" s="20"/>
      <c r="C13" s="78" t="s">
        <v>61</v>
      </c>
      <c r="D13" s="15" t="s">
        <v>11</v>
      </c>
      <c r="E13" s="16" t="s">
        <v>52</v>
      </c>
      <c r="F13" s="24">
        <v>2441825.0</v>
      </c>
      <c r="G13" s="18">
        <v>305.0</v>
      </c>
      <c r="H13" s="60">
        <v>80.0</v>
      </c>
      <c r="I13" s="14">
        <v>27.0</v>
      </c>
    </row>
    <row r="14" ht="13.5" customHeight="1">
      <c r="A14" s="14">
        <v>9.0</v>
      </c>
      <c r="B14" s="76">
        <v>45971.0</v>
      </c>
      <c r="C14" s="78" t="s">
        <v>38</v>
      </c>
      <c r="D14" s="15" t="s">
        <v>11</v>
      </c>
      <c r="E14" s="16" t="s">
        <v>60</v>
      </c>
      <c r="F14" s="24">
        <v>449000.0</v>
      </c>
      <c r="G14" s="18">
        <v>185.0</v>
      </c>
      <c r="H14" s="18">
        <v>318.0</v>
      </c>
      <c r="I14" s="14">
        <v>28.0</v>
      </c>
    </row>
    <row r="15">
      <c r="A15" s="14">
        <v>10.0</v>
      </c>
      <c r="B15" s="21"/>
      <c r="C15" s="78" t="s">
        <v>61</v>
      </c>
      <c r="D15" s="15" t="s">
        <v>11</v>
      </c>
      <c r="E15" s="16" t="s">
        <v>52</v>
      </c>
      <c r="F15" s="24">
        <v>2085090.0</v>
      </c>
      <c r="G15" s="18">
        <v>261.0</v>
      </c>
      <c r="H15" s="18">
        <v>6.0</v>
      </c>
      <c r="I15" s="14">
        <v>58.0</v>
      </c>
    </row>
    <row r="16">
      <c r="A16" s="14">
        <v>11.0</v>
      </c>
      <c r="B16" s="90">
        <v>46002.0</v>
      </c>
      <c r="C16" s="78" t="s">
        <v>38</v>
      </c>
      <c r="D16" s="15" t="s">
        <v>11</v>
      </c>
      <c r="E16" s="16" t="s">
        <v>60</v>
      </c>
      <c r="F16" s="24">
        <v>4292799.0</v>
      </c>
      <c r="G16" s="25">
        <v>256.0</v>
      </c>
      <c r="H16" s="25">
        <v>114.0</v>
      </c>
      <c r="I16" s="14">
        <v>32.0</v>
      </c>
    </row>
    <row r="17">
      <c r="A17" s="14">
        <v>12.0</v>
      </c>
      <c r="B17" s="21"/>
      <c r="C17" s="78" t="s">
        <v>61</v>
      </c>
      <c r="D17" s="15" t="s">
        <v>11</v>
      </c>
      <c r="E17" s="16" t="s">
        <v>52</v>
      </c>
      <c r="F17" s="17">
        <v>5973156.0</v>
      </c>
      <c r="G17" s="25">
        <v>420.0</v>
      </c>
      <c r="H17" s="25">
        <v>8.0</v>
      </c>
      <c r="I17" s="14">
        <v>43.0</v>
      </c>
    </row>
    <row r="18">
      <c r="A18" s="14">
        <v>13.0</v>
      </c>
      <c r="B18" s="76">
        <v>46003.0</v>
      </c>
      <c r="C18" s="14" t="s">
        <v>38</v>
      </c>
      <c r="D18" s="16" t="s">
        <v>11</v>
      </c>
      <c r="E18" s="16" t="s">
        <v>60</v>
      </c>
      <c r="F18" s="24">
        <v>1503094.0</v>
      </c>
      <c r="G18" s="25">
        <v>311.0</v>
      </c>
      <c r="H18" s="25">
        <v>200.0</v>
      </c>
      <c r="I18" s="14">
        <v>94.0</v>
      </c>
    </row>
    <row r="19">
      <c r="A19" s="14">
        <v>14.0</v>
      </c>
      <c r="B19" s="21"/>
      <c r="C19" s="78" t="s">
        <v>34</v>
      </c>
      <c r="D19" s="15" t="s">
        <v>11</v>
      </c>
      <c r="E19" s="16" t="s">
        <v>60</v>
      </c>
      <c r="F19" s="24">
        <v>2209097.0</v>
      </c>
      <c r="G19" s="25">
        <v>254.0</v>
      </c>
      <c r="H19" s="25">
        <v>405.0</v>
      </c>
      <c r="I19" s="14">
        <v>28.0</v>
      </c>
    </row>
    <row r="20">
      <c r="A20" s="14">
        <v>15.0</v>
      </c>
      <c r="B20" s="21"/>
      <c r="C20" s="78" t="s">
        <v>59</v>
      </c>
      <c r="D20" s="15" t="s">
        <v>11</v>
      </c>
      <c r="E20" s="16" t="s">
        <v>52</v>
      </c>
      <c r="F20" s="24">
        <v>5168792.0</v>
      </c>
      <c r="G20" s="25">
        <v>341.0</v>
      </c>
      <c r="H20" s="25">
        <v>387.0</v>
      </c>
      <c r="I20" s="14">
        <v>43.0</v>
      </c>
    </row>
    <row r="21">
      <c r="A21" s="14">
        <v>16.0</v>
      </c>
      <c r="B21" s="76">
        <v>46004.0</v>
      </c>
      <c r="C21" s="78" t="s">
        <v>38</v>
      </c>
      <c r="D21" s="16" t="s">
        <v>11</v>
      </c>
      <c r="E21" s="16" t="s">
        <v>60</v>
      </c>
      <c r="F21" s="24">
        <v>1583350.0</v>
      </c>
      <c r="G21" s="25">
        <v>331.0</v>
      </c>
      <c r="H21" s="25">
        <v>100.0</v>
      </c>
      <c r="I21" s="14">
        <v>56.0</v>
      </c>
    </row>
    <row r="22">
      <c r="A22" s="14">
        <v>17.0</v>
      </c>
      <c r="B22" s="21"/>
      <c r="C22" s="78" t="s">
        <v>34</v>
      </c>
      <c r="D22" s="16" t="s">
        <v>11</v>
      </c>
      <c r="E22" s="16" t="s">
        <v>60</v>
      </c>
      <c r="F22" s="24">
        <v>595324.0</v>
      </c>
      <c r="G22" s="25">
        <v>442.0</v>
      </c>
      <c r="H22" s="25">
        <v>203.0</v>
      </c>
      <c r="I22" s="14">
        <v>49.0</v>
      </c>
    </row>
    <row r="23">
      <c r="A23" s="14">
        <v>18.0</v>
      </c>
      <c r="B23" s="20"/>
      <c r="C23" s="78" t="s">
        <v>61</v>
      </c>
      <c r="D23" s="16" t="s">
        <v>11</v>
      </c>
      <c r="E23" s="16" t="s">
        <v>52</v>
      </c>
      <c r="F23" s="24">
        <v>0.0</v>
      </c>
      <c r="G23" s="25">
        <v>397.0</v>
      </c>
      <c r="H23" s="25">
        <v>6.0</v>
      </c>
      <c r="I23" s="14">
        <v>32.0</v>
      </c>
    </row>
    <row r="24">
      <c r="A24" s="14">
        <v>19.0</v>
      </c>
      <c r="B24" s="76">
        <v>46005.0</v>
      </c>
      <c r="C24" s="14" t="s">
        <v>38</v>
      </c>
      <c r="D24" s="16" t="s">
        <v>11</v>
      </c>
      <c r="E24" s="16" t="s">
        <v>60</v>
      </c>
      <c r="F24" s="24">
        <v>616520.0</v>
      </c>
      <c r="G24" s="25">
        <v>435.0</v>
      </c>
      <c r="H24" s="25">
        <v>89.0</v>
      </c>
      <c r="I24" s="14">
        <v>31.0</v>
      </c>
    </row>
    <row r="25">
      <c r="A25" s="14">
        <v>20.0</v>
      </c>
      <c r="B25" s="20"/>
      <c r="C25" s="14" t="s">
        <v>59</v>
      </c>
      <c r="D25" s="16" t="s">
        <v>11</v>
      </c>
      <c r="E25" s="16" t="s">
        <v>52</v>
      </c>
      <c r="F25" s="24">
        <v>616420.0</v>
      </c>
      <c r="G25" s="25">
        <v>364.0</v>
      </c>
      <c r="H25" s="25">
        <v>109.0</v>
      </c>
      <c r="I25" s="14">
        <v>52.0</v>
      </c>
    </row>
    <row r="26">
      <c r="A26" s="14">
        <v>21.0</v>
      </c>
      <c r="B26" s="76">
        <v>46006.0</v>
      </c>
      <c r="C26" s="78" t="s">
        <v>38</v>
      </c>
      <c r="D26" s="16" t="s">
        <v>11</v>
      </c>
      <c r="E26" s="16" t="s">
        <v>60</v>
      </c>
      <c r="F26" s="24">
        <v>888781.0</v>
      </c>
      <c r="G26" s="25">
        <v>229.0</v>
      </c>
      <c r="H26" s="25">
        <v>309.0</v>
      </c>
      <c r="I26" s="14">
        <v>53.0</v>
      </c>
    </row>
    <row r="27">
      <c r="A27" s="14">
        <v>22.0</v>
      </c>
      <c r="B27" s="20"/>
      <c r="C27" s="78" t="s">
        <v>59</v>
      </c>
      <c r="D27" s="15" t="s">
        <v>11</v>
      </c>
      <c r="E27" s="16" t="s">
        <v>52</v>
      </c>
      <c r="F27" s="24">
        <v>1774485.0</v>
      </c>
      <c r="G27" s="25">
        <v>319.0</v>
      </c>
      <c r="H27" s="25">
        <v>35.0</v>
      </c>
      <c r="I27" s="14">
        <v>26.0</v>
      </c>
    </row>
    <row r="28">
      <c r="A28" s="14">
        <v>23.0</v>
      </c>
      <c r="B28" s="76">
        <v>46007.0</v>
      </c>
      <c r="C28" s="78" t="s">
        <v>62</v>
      </c>
      <c r="D28" s="16" t="s">
        <v>11</v>
      </c>
      <c r="E28" s="16" t="s">
        <v>60</v>
      </c>
      <c r="F28" s="24">
        <v>438620.0</v>
      </c>
      <c r="G28" s="25">
        <v>203.0</v>
      </c>
      <c r="H28" s="25">
        <v>60.0</v>
      </c>
      <c r="I28" s="14">
        <v>59.0</v>
      </c>
    </row>
    <row r="29">
      <c r="A29" s="14">
        <v>24.0</v>
      </c>
      <c r="B29" s="20"/>
      <c r="C29" s="78" t="s">
        <v>61</v>
      </c>
      <c r="D29" s="16" t="s">
        <v>11</v>
      </c>
      <c r="E29" s="16" t="s">
        <v>52</v>
      </c>
      <c r="F29" s="24">
        <v>785232.0</v>
      </c>
      <c r="G29" s="25">
        <v>305.0</v>
      </c>
      <c r="H29" s="25">
        <v>100.0</v>
      </c>
      <c r="I29" s="14">
        <v>23.0</v>
      </c>
    </row>
    <row r="30">
      <c r="A30" s="14">
        <v>25.0</v>
      </c>
      <c r="B30" s="90">
        <v>46008.0</v>
      </c>
      <c r="C30" s="14" t="s">
        <v>62</v>
      </c>
      <c r="D30" s="16" t="s">
        <v>11</v>
      </c>
      <c r="E30" s="16" t="s">
        <v>60</v>
      </c>
      <c r="F30" s="24">
        <v>3174170.0</v>
      </c>
      <c r="G30" s="25">
        <v>214.0</v>
      </c>
      <c r="H30" s="62">
        <v>3.0</v>
      </c>
      <c r="I30" s="14">
        <v>90.0</v>
      </c>
    </row>
    <row r="31">
      <c r="A31" s="14">
        <v>26.0</v>
      </c>
      <c r="B31" s="21"/>
      <c r="C31" s="78" t="s">
        <v>59</v>
      </c>
      <c r="D31" s="15" t="s">
        <v>11</v>
      </c>
      <c r="E31" s="16" t="s">
        <v>52</v>
      </c>
      <c r="F31" s="24">
        <v>883415.0</v>
      </c>
      <c r="G31" s="25">
        <v>242.0</v>
      </c>
      <c r="H31" s="25">
        <v>207.0</v>
      </c>
      <c r="I31" s="14">
        <v>41.0</v>
      </c>
    </row>
    <row r="32">
      <c r="A32" s="14">
        <v>27.0</v>
      </c>
      <c r="B32" s="76">
        <v>45979.0</v>
      </c>
      <c r="C32" s="78" t="s">
        <v>38</v>
      </c>
      <c r="D32" s="16" t="s">
        <v>11</v>
      </c>
      <c r="E32" s="16" t="s">
        <v>60</v>
      </c>
      <c r="F32" s="24">
        <v>1290000.0</v>
      </c>
      <c r="G32" s="25">
        <v>193.0</v>
      </c>
      <c r="H32" s="25">
        <v>59.0</v>
      </c>
      <c r="I32" s="14">
        <v>36.0</v>
      </c>
    </row>
    <row r="33">
      <c r="A33" s="14">
        <v>28.0</v>
      </c>
      <c r="B33" s="21"/>
      <c r="C33" s="78" t="s">
        <v>59</v>
      </c>
      <c r="D33" s="16" t="s">
        <v>11</v>
      </c>
      <c r="E33" s="16" t="s">
        <v>52</v>
      </c>
      <c r="F33" s="24">
        <v>2143434.0</v>
      </c>
      <c r="G33" s="25">
        <v>229.0</v>
      </c>
      <c r="H33" s="25">
        <v>64.0</v>
      </c>
      <c r="I33" s="14">
        <v>13.0</v>
      </c>
    </row>
    <row r="34">
      <c r="A34" s="14">
        <v>29.0</v>
      </c>
      <c r="B34" s="76">
        <v>46010.0</v>
      </c>
      <c r="C34" s="14" t="s">
        <v>38</v>
      </c>
      <c r="D34" s="16" t="s">
        <v>11</v>
      </c>
      <c r="E34" s="16" t="s">
        <v>60</v>
      </c>
      <c r="F34" s="24">
        <v>0.0</v>
      </c>
      <c r="G34" s="25">
        <v>127.0</v>
      </c>
      <c r="H34" s="25">
        <v>39.0</v>
      </c>
      <c r="I34" s="14">
        <v>17.0</v>
      </c>
    </row>
    <row r="35">
      <c r="A35" s="14">
        <v>30.0</v>
      </c>
      <c r="B35" s="20"/>
      <c r="C35" s="14" t="s">
        <v>59</v>
      </c>
      <c r="D35" s="16" t="s">
        <v>11</v>
      </c>
      <c r="E35" s="16" t="s">
        <v>52</v>
      </c>
      <c r="F35" s="24">
        <v>654124.0</v>
      </c>
      <c r="G35" s="25">
        <v>214.0</v>
      </c>
      <c r="H35" s="25">
        <v>103.0</v>
      </c>
      <c r="I35" s="14">
        <v>24.0</v>
      </c>
    </row>
    <row r="36">
      <c r="A36" s="14">
        <v>31.0</v>
      </c>
      <c r="B36" s="93">
        <v>46011.0</v>
      </c>
      <c r="C36" s="78" t="s">
        <v>59</v>
      </c>
      <c r="D36" s="15" t="s">
        <v>11</v>
      </c>
      <c r="E36" s="16" t="s">
        <v>52</v>
      </c>
      <c r="F36" s="24">
        <v>288000.0</v>
      </c>
      <c r="G36" s="25">
        <v>238.0</v>
      </c>
      <c r="H36" s="25">
        <v>100.0</v>
      </c>
      <c r="I36" s="14">
        <v>34.0</v>
      </c>
    </row>
    <row r="37">
      <c r="A37" s="14">
        <v>32.0</v>
      </c>
      <c r="B37" s="93">
        <v>46012.0</v>
      </c>
      <c r="C37" s="78" t="s">
        <v>59</v>
      </c>
      <c r="D37" s="16" t="s">
        <v>11</v>
      </c>
      <c r="E37" s="16" t="s">
        <v>52</v>
      </c>
      <c r="F37" s="24">
        <v>0.0</v>
      </c>
      <c r="G37" s="25">
        <v>258.0</v>
      </c>
      <c r="H37" s="25">
        <v>112.0</v>
      </c>
      <c r="I37" s="14">
        <v>25.0</v>
      </c>
    </row>
    <row r="38">
      <c r="A38" s="14">
        <v>33.0</v>
      </c>
      <c r="B38" s="76">
        <v>46013.0</v>
      </c>
      <c r="C38" s="78" t="s">
        <v>62</v>
      </c>
      <c r="D38" s="16" t="s">
        <v>11</v>
      </c>
      <c r="E38" s="16" t="s">
        <v>60</v>
      </c>
      <c r="F38" s="24">
        <v>8753815.0</v>
      </c>
      <c r="G38" s="25">
        <v>178.0</v>
      </c>
      <c r="H38" s="25">
        <v>400.0</v>
      </c>
      <c r="I38" s="14">
        <v>52.0</v>
      </c>
    </row>
    <row r="39">
      <c r="A39" s="14">
        <v>34.0</v>
      </c>
      <c r="B39" s="20"/>
      <c r="C39" s="78" t="s">
        <v>108</v>
      </c>
      <c r="D39" s="16" t="s">
        <v>11</v>
      </c>
      <c r="E39" s="16" t="s">
        <v>52</v>
      </c>
      <c r="F39" s="24">
        <v>0.0</v>
      </c>
      <c r="G39" s="25">
        <v>275.0</v>
      </c>
      <c r="H39" s="25">
        <v>103.0</v>
      </c>
      <c r="I39" s="14">
        <v>22.0</v>
      </c>
    </row>
    <row r="40">
      <c r="A40" s="14">
        <v>35.0</v>
      </c>
      <c r="B40" s="76">
        <v>46014.0</v>
      </c>
      <c r="C40" s="78" t="s">
        <v>62</v>
      </c>
      <c r="D40" s="15" t="s">
        <v>11</v>
      </c>
      <c r="E40" s="16" t="s">
        <v>60</v>
      </c>
      <c r="F40" s="24">
        <v>2383687.0</v>
      </c>
      <c r="G40" s="25">
        <v>108.0</v>
      </c>
      <c r="H40" s="25">
        <v>5.0</v>
      </c>
      <c r="I40" s="14">
        <v>33.0</v>
      </c>
    </row>
    <row r="41">
      <c r="A41" s="14">
        <v>36.0</v>
      </c>
      <c r="B41" s="20"/>
      <c r="C41" s="78" t="s">
        <v>61</v>
      </c>
      <c r="D41" s="16" t="s">
        <v>11</v>
      </c>
      <c r="E41" s="16" t="s">
        <v>52</v>
      </c>
      <c r="F41" s="24">
        <v>1177800.0</v>
      </c>
      <c r="G41" s="25">
        <v>218.0</v>
      </c>
      <c r="H41" s="25">
        <v>208.0</v>
      </c>
      <c r="I41" s="14">
        <v>28.0</v>
      </c>
    </row>
    <row r="42">
      <c r="A42" s="14">
        <v>37.0</v>
      </c>
      <c r="B42" s="76">
        <v>46015.0</v>
      </c>
      <c r="C42" s="78" t="s">
        <v>38</v>
      </c>
      <c r="D42" s="16" t="s">
        <v>11</v>
      </c>
      <c r="E42" s="16" t="s">
        <v>60</v>
      </c>
      <c r="F42" s="24">
        <v>4128085.0</v>
      </c>
      <c r="G42" s="25">
        <v>194.0</v>
      </c>
      <c r="H42" s="25">
        <v>135.0</v>
      </c>
      <c r="I42" s="14">
        <v>35.0</v>
      </c>
    </row>
    <row r="43">
      <c r="A43" s="14">
        <v>38.0</v>
      </c>
      <c r="B43" s="20"/>
      <c r="C43" s="78" t="s">
        <v>59</v>
      </c>
      <c r="D43" s="15" t="s">
        <v>11</v>
      </c>
      <c r="E43" s="16" t="s">
        <v>52</v>
      </c>
      <c r="F43" s="24">
        <v>427952.0</v>
      </c>
      <c r="G43" s="25">
        <v>238.0</v>
      </c>
      <c r="H43" s="25">
        <v>0.0</v>
      </c>
      <c r="I43" s="14">
        <v>29.0</v>
      </c>
    </row>
    <row r="44">
      <c r="A44" s="14">
        <v>39.0</v>
      </c>
      <c r="B44" s="76">
        <v>46016.0</v>
      </c>
      <c r="C44" s="78" t="s">
        <v>62</v>
      </c>
      <c r="D44" s="15" t="s">
        <v>11</v>
      </c>
      <c r="E44" s="16" t="s">
        <v>60</v>
      </c>
      <c r="F44" s="24">
        <v>4633281.0</v>
      </c>
      <c r="G44" s="25">
        <v>283.0</v>
      </c>
      <c r="H44" s="25">
        <v>124.0</v>
      </c>
      <c r="I44" s="14">
        <v>51.0</v>
      </c>
    </row>
    <row r="45">
      <c r="A45" s="14">
        <v>40.0</v>
      </c>
      <c r="B45" s="21"/>
      <c r="C45" s="78" t="s">
        <v>34</v>
      </c>
      <c r="D45" s="15" t="s">
        <v>11</v>
      </c>
      <c r="E45" s="16" t="s">
        <v>60</v>
      </c>
      <c r="F45" s="24">
        <v>428935.0</v>
      </c>
      <c r="G45" s="25">
        <v>330.0</v>
      </c>
      <c r="H45" s="25">
        <v>200.0</v>
      </c>
      <c r="I45" s="14">
        <v>57.0</v>
      </c>
    </row>
    <row r="46">
      <c r="A46" s="14">
        <v>41.0</v>
      </c>
      <c r="B46" s="20"/>
      <c r="C46" s="78" t="s">
        <v>61</v>
      </c>
      <c r="D46" s="15" t="s">
        <v>11</v>
      </c>
      <c r="E46" s="16" t="s">
        <v>52</v>
      </c>
      <c r="F46" s="24">
        <v>2228050.0</v>
      </c>
      <c r="G46" s="25">
        <v>369.0</v>
      </c>
      <c r="H46" s="25">
        <v>0.0</v>
      </c>
      <c r="I46" s="14">
        <v>50.0</v>
      </c>
    </row>
    <row r="47">
      <c r="A47" s="14">
        <v>42.0</v>
      </c>
      <c r="B47" s="76">
        <v>46017.0</v>
      </c>
      <c r="C47" s="78" t="s">
        <v>38</v>
      </c>
      <c r="D47" s="16" t="s">
        <v>11</v>
      </c>
      <c r="E47" s="16" t="s">
        <v>60</v>
      </c>
      <c r="F47" s="24">
        <v>2131515.0</v>
      </c>
      <c r="G47" s="25">
        <v>255.0</v>
      </c>
      <c r="H47" s="25">
        <v>105.0</v>
      </c>
      <c r="I47" s="14">
        <v>65.0</v>
      </c>
    </row>
    <row r="48">
      <c r="A48" s="14">
        <v>43.0</v>
      </c>
      <c r="B48" s="21"/>
      <c r="C48" s="78" t="s">
        <v>34</v>
      </c>
      <c r="D48" s="16" t="s">
        <v>11</v>
      </c>
      <c r="E48" s="16" t="s">
        <v>60</v>
      </c>
      <c r="F48" s="24">
        <v>448600.0</v>
      </c>
      <c r="G48" s="25">
        <v>293.0</v>
      </c>
      <c r="H48" s="25">
        <v>80.0</v>
      </c>
      <c r="I48" s="14">
        <v>65.0</v>
      </c>
    </row>
    <row r="49">
      <c r="A49" s="14">
        <v>44.0</v>
      </c>
      <c r="B49" s="20"/>
      <c r="C49" s="78" t="s">
        <v>61</v>
      </c>
      <c r="D49" s="16" t="s">
        <v>11</v>
      </c>
      <c r="E49" s="16" t="s">
        <v>52</v>
      </c>
      <c r="F49" s="24">
        <v>981000.0</v>
      </c>
      <c r="G49" s="25">
        <v>253.0</v>
      </c>
      <c r="H49" s="25">
        <v>104.0</v>
      </c>
      <c r="I49" s="14">
        <v>26.0</v>
      </c>
    </row>
    <row r="50">
      <c r="A50" s="14">
        <v>45.0</v>
      </c>
      <c r="B50" s="76">
        <v>46018.0</v>
      </c>
      <c r="C50" s="14" t="s">
        <v>38</v>
      </c>
      <c r="D50" s="16" t="s">
        <v>11</v>
      </c>
      <c r="E50" s="16" t="s">
        <v>60</v>
      </c>
      <c r="F50" s="24">
        <v>498507.0</v>
      </c>
      <c r="G50" s="25">
        <v>209.0</v>
      </c>
      <c r="H50" s="25">
        <v>205.0</v>
      </c>
      <c r="I50" s="14">
        <v>31.0</v>
      </c>
    </row>
    <row r="51">
      <c r="A51" s="14">
        <v>46.0</v>
      </c>
      <c r="B51" s="20"/>
      <c r="C51" s="14" t="s">
        <v>59</v>
      </c>
      <c r="D51" s="16" t="s">
        <v>11</v>
      </c>
      <c r="E51" s="16" t="s">
        <v>52</v>
      </c>
      <c r="F51" s="24">
        <v>2893935.0</v>
      </c>
      <c r="G51" s="25">
        <v>302.0</v>
      </c>
      <c r="H51" s="25">
        <v>500.0</v>
      </c>
      <c r="I51" s="14">
        <v>71.0</v>
      </c>
    </row>
    <row r="52">
      <c r="A52" s="14">
        <v>47.0</v>
      </c>
      <c r="B52" s="93">
        <v>46019.0</v>
      </c>
      <c r="C52" s="78" t="s">
        <v>59</v>
      </c>
      <c r="D52" s="15" t="s">
        <v>11</v>
      </c>
      <c r="E52" s="16" t="s">
        <v>52</v>
      </c>
      <c r="F52" s="24">
        <v>986000.0</v>
      </c>
      <c r="G52" s="25">
        <v>265.0</v>
      </c>
      <c r="H52" s="25">
        <v>111.0</v>
      </c>
      <c r="I52" s="14">
        <v>27.0</v>
      </c>
    </row>
    <row r="53">
      <c r="A53" s="14">
        <v>48.0</v>
      </c>
      <c r="B53" s="76">
        <v>46020.0</v>
      </c>
      <c r="C53" s="78" t="s">
        <v>38</v>
      </c>
      <c r="D53" s="16" t="s">
        <v>11</v>
      </c>
      <c r="E53" s="16" t="s">
        <v>60</v>
      </c>
      <c r="F53" s="24">
        <v>729472.0</v>
      </c>
      <c r="G53" s="25">
        <v>183.0</v>
      </c>
      <c r="H53" s="25">
        <v>221.0</v>
      </c>
      <c r="I53" s="14">
        <v>67.0</v>
      </c>
    </row>
    <row r="54">
      <c r="A54" s="14">
        <v>49.0</v>
      </c>
      <c r="B54" s="20"/>
      <c r="C54" s="78" t="s">
        <v>59</v>
      </c>
      <c r="D54" s="16" t="s">
        <v>11</v>
      </c>
      <c r="E54" s="16" t="s">
        <v>52</v>
      </c>
      <c r="F54" s="24">
        <v>51271.0</v>
      </c>
      <c r="G54" s="25">
        <v>257.0</v>
      </c>
      <c r="H54" s="25">
        <v>11.0</v>
      </c>
      <c r="I54" s="14">
        <v>33.0</v>
      </c>
    </row>
    <row r="55">
      <c r="A55" s="14">
        <v>50.0</v>
      </c>
      <c r="B55" s="76">
        <v>46021.0</v>
      </c>
      <c r="C55" s="14" t="s">
        <v>38</v>
      </c>
      <c r="D55" s="16" t="s">
        <v>11</v>
      </c>
      <c r="E55" s="16" t="s">
        <v>60</v>
      </c>
      <c r="F55" s="69">
        <v>0.0</v>
      </c>
      <c r="G55" s="14">
        <v>212.0</v>
      </c>
      <c r="H55" s="14">
        <v>20.0</v>
      </c>
      <c r="I55" s="14">
        <v>32.0</v>
      </c>
    </row>
    <row r="56">
      <c r="A56" s="14">
        <v>51.0</v>
      </c>
      <c r="B56" s="20"/>
      <c r="C56" s="14" t="s">
        <v>59</v>
      </c>
      <c r="D56" s="16" t="s">
        <v>11</v>
      </c>
      <c r="E56" s="16" t="s">
        <v>52</v>
      </c>
      <c r="F56" s="69">
        <v>2126834.0</v>
      </c>
      <c r="G56" s="14">
        <v>198.0</v>
      </c>
      <c r="H56" s="14">
        <v>11.0</v>
      </c>
      <c r="I56" s="14">
        <v>8.0</v>
      </c>
    </row>
    <row r="57">
      <c r="A57" s="14">
        <v>52.0</v>
      </c>
      <c r="B57" s="76">
        <v>46022.0</v>
      </c>
      <c r="C57" s="78" t="s">
        <v>59</v>
      </c>
      <c r="D57" s="15" t="s">
        <v>11</v>
      </c>
      <c r="E57" s="16" t="s">
        <v>52</v>
      </c>
      <c r="F57" s="24">
        <v>3376067.0</v>
      </c>
      <c r="G57" s="25">
        <v>526.0</v>
      </c>
      <c r="H57" s="25">
        <v>89.0</v>
      </c>
      <c r="I57" s="14">
        <v>59.0</v>
      </c>
    </row>
    <row r="58">
      <c r="A58" s="14">
        <v>53.0</v>
      </c>
      <c r="B58" s="90">
        <v>46023.0</v>
      </c>
      <c r="C58" s="78" t="s">
        <v>38</v>
      </c>
      <c r="D58" s="16" t="s">
        <v>11</v>
      </c>
      <c r="E58" s="16" t="s">
        <v>60</v>
      </c>
      <c r="F58" s="24">
        <v>5596340.0</v>
      </c>
      <c r="G58" s="25">
        <v>413.0</v>
      </c>
      <c r="H58" s="62">
        <v>508.0</v>
      </c>
      <c r="I58" s="14">
        <v>94.0</v>
      </c>
    </row>
    <row r="59">
      <c r="A59" s="14">
        <v>54.0</v>
      </c>
      <c r="B59" s="21"/>
      <c r="C59" s="78" t="s">
        <v>34</v>
      </c>
      <c r="D59" s="16" t="s">
        <v>11</v>
      </c>
      <c r="E59" s="16" t="s">
        <v>60</v>
      </c>
      <c r="F59" s="24">
        <v>3357310.0</v>
      </c>
      <c r="G59" s="25">
        <v>413.0</v>
      </c>
      <c r="H59" s="25">
        <v>487.0</v>
      </c>
      <c r="I59" s="14">
        <v>103.0</v>
      </c>
    </row>
    <row r="60">
      <c r="A60" s="14">
        <v>55.0</v>
      </c>
      <c r="B60" s="20"/>
      <c r="C60" s="78" t="s">
        <v>61</v>
      </c>
      <c r="D60" s="16" t="s">
        <v>11</v>
      </c>
      <c r="E60" s="16" t="s">
        <v>109</v>
      </c>
      <c r="F60" s="24">
        <v>2461698.0</v>
      </c>
      <c r="G60" s="25">
        <v>322.0</v>
      </c>
      <c r="H60" s="25">
        <v>213.0</v>
      </c>
      <c r="I60" s="14">
        <v>25.0</v>
      </c>
    </row>
    <row r="61">
      <c r="A61" s="14">
        <v>56.0</v>
      </c>
      <c r="B61" s="76">
        <v>46024.0</v>
      </c>
      <c r="C61" s="14" t="s">
        <v>38</v>
      </c>
      <c r="D61" s="16" t="s">
        <v>11</v>
      </c>
      <c r="E61" s="16" t="s">
        <v>110</v>
      </c>
      <c r="F61" s="69">
        <v>2988645.0</v>
      </c>
      <c r="G61" s="14">
        <v>266.0</v>
      </c>
      <c r="H61" s="14">
        <v>1.0</v>
      </c>
      <c r="I61" s="14">
        <v>103.0</v>
      </c>
    </row>
    <row r="62">
      <c r="A62" s="14">
        <v>57.0</v>
      </c>
      <c r="B62" s="21"/>
      <c r="C62" s="14" t="s">
        <v>34</v>
      </c>
      <c r="D62" s="16" t="s">
        <v>11</v>
      </c>
      <c r="E62" s="16" t="s">
        <v>60</v>
      </c>
      <c r="F62" s="69">
        <v>6504346.0</v>
      </c>
      <c r="G62" s="14">
        <v>297.0</v>
      </c>
      <c r="H62" s="14">
        <v>200.0</v>
      </c>
      <c r="I62" s="14">
        <v>66.0</v>
      </c>
    </row>
    <row r="63">
      <c r="A63" s="14">
        <v>58.0</v>
      </c>
      <c r="B63" s="20"/>
      <c r="C63" s="14" t="s">
        <v>61</v>
      </c>
      <c r="D63" s="16" t="s">
        <v>11</v>
      </c>
      <c r="E63" s="16" t="s">
        <v>109</v>
      </c>
      <c r="F63" s="69">
        <v>1972394.0</v>
      </c>
      <c r="G63" s="14">
        <v>303.0</v>
      </c>
      <c r="H63" s="14">
        <v>119.0</v>
      </c>
      <c r="I63" s="14">
        <v>60.0</v>
      </c>
    </row>
    <row r="64">
      <c r="A64" s="14">
        <v>59.0</v>
      </c>
      <c r="B64" s="76">
        <v>46025.0</v>
      </c>
      <c r="C64" s="14" t="s">
        <v>38</v>
      </c>
      <c r="D64" s="16" t="s">
        <v>11</v>
      </c>
      <c r="E64" s="16" t="s">
        <v>110</v>
      </c>
      <c r="F64" s="69">
        <v>2543235.0</v>
      </c>
      <c r="G64" s="14">
        <v>209.0</v>
      </c>
      <c r="H64" s="14">
        <v>11.0</v>
      </c>
      <c r="I64" s="14">
        <v>77.0</v>
      </c>
    </row>
    <row r="65">
      <c r="A65" s="14">
        <v>60.0</v>
      </c>
      <c r="B65" s="20"/>
      <c r="C65" s="14" t="s">
        <v>59</v>
      </c>
      <c r="D65" s="16" t="s">
        <v>11</v>
      </c>
      <c r="E65" s="16" t="s">
        <v>109</v>
      </c>
      <c r="F65" s="69">
        <v>445934.0</v>
      </c>
      <c r="G65" s="14">
        <v>327.0</v>
      </c>
      <c r="H65" s="14">
        <v>104.0</v>
      </c>
      <c r="I65" s="14">
        <v>43.0</v>
      </c>
    </row>
    <row r="66">
      <c r="F66" s="71">
        <f>SUM(F6:F65)</f>
        <v>118185435</v>
      </c>
    </row>
    <row r="70">
      <c r="E70" s="58" t="s">
        <v>31</v>
      </c>
      <c r="F70" s="58" t="s">
        <v>105</v>
      </c>
      <c r="G70" s="58" t="s">
        <v>107</v>
      </c>
    </row>
    <row r="72">
      <c r="E72" s="58" t="s">
        <v>60</v>
      </c>
      <c r="F72" s="58" t="s">
        <v>111</v>
      </c>
      <c r="G72" s="58" t="s">
        <v>112</v>
      </c>
    </row>
    <row r="73">
      <c r="E73" s="58" t="s">
        <v>52</v>
      </c>
      <c r="F73" s="58" t="s">
        <v>113</v>
      </c>
      <c r="G73" s="58" t="s">
        <v>114</v>
      </c>
    </row>
    <row r="74">
      <c r="E74" s="58" t="s">
        <v>109</v>
      </c>
      <c r="F74" s="58" t="s">
        <v>115</v>
      </c>
      <c r="G74" s="58" t="s">
        <v>116</v>
      </c>
    </row>
    <row r="75">
      <c r="E75" s="58" t="s">
        <v>110</v>
      </c>
      <c r="F75" s="58" t="s">
        <v>117</v>
      </c>
      <c r="G75" s="58" t="s">
        <v>118</v>
      </c>
    </row>
  </sheetData>
  <mergeCells count="25">
    <mergeCell ref="A2:C3"/>
    <mergeCell ref="B6:B7"/>
    <mergeCell ref="B10:B11"/>
    <mergeCell ref="B12:B13"/>
    <mergeCell ref="B14:B15"/>
    <mergeCell ref="B16:B17"/>
    <mergeCell ref="B18:B20"/>
    <mergeCell ref="B21:B23"/>
    <mergeCell ref="B24:B25"/>
    <mergeCell ref="B26:B27"/>
    <mergeCell ref="B28:B29"/>
    <mergeCell ref="B30:B31"/>
    <mergeCell ref="B32:B33"/>
    <mergeCell ref="B34:B35"/>
    <mergeCell ref="B55:B56"/>
    <mergeCell ref="B58:B60"/>
    <mergeCell ref="B61:B63"/>
    <mergeCell ref="B64:B65"/>
    <mergeCell ref="B38:B39"/>
    <mergeCell ref="B40:B41"/>
    <mergeCell ref="B42:B43"/>
    <mergeCell ref="B44:B46"/>
    <mergeCell ref="B47:B49"/>
    <mergeCell ref="B50:B51"/>
    <mergeCell ref="B53:B5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2">
      <c r="A2" s="3" t="s">
        <v>0</v>
      </c>
      <c r="B2" s="4"/>
      <c r="C2" s="5"/>
    </row>
    <row r="3">
      <c r="A3" s="6"/>
      <c r="B3" s="7"/>
      <c r="C3" s="8"/>
    </row>
    <row r="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10" t="s">
        <v>6</v>
      </c>
      <c r="G5" s="9" t="s">
        <v>7</v>
      </c>
      <c r="H5" s="9" t="s">
        <v>8</v>
      </c>
      <c r="I5" s="75" t="s">
        <v>58</v>
      </c>
    </row>
    <row r="6">
      <c r="A6" s="14">
        <v>1.0</v>
      </c>
      <c r="B6" s="33" t="s">
        <v>119</v>
      </c>
      <c r="C6" s="14" t="s">
        <v>38</v>
      </c>
      <c r="D6" s="16" t="s">
        <v>11</v>
      </c>
      <c r="E6" s="16" t="s">
        <v>110</v>
      </c>
      <c r="F6" s="24">
        <v>5197600.0</v>
      </c>
      <c r="G6" s="25">
        <v>367.0</v>
      </c>
      <c r="H6" s="67"/>
      <c r="I6" s="14">
        <v>108.0</v>
      </c>
    </row>
    <row r="7">
      <c r="A7" s="14">
        <v>2.0</v>
      </c>
      <c r="B7" s="95"/>
      <c r="C7" s="14" t="s">
        <v>59</v>
      </c>
      <c r="D7" s="16" t="s">
        <v>11</v>
      </c>
      <c r="E7" s="16" t="s">
        <v>109</v>
      </c>
      <c r="F7" s="24">
        <v>1779400.0</v>
      </c>
      <c r="G7" s="25">
        <v>433.0</v>
      </c>
      <c r="H7" s="67"/>
      <c r="I7" s="14">
        <v>74.0</v>
      </c>
    </row>
    <row r="8">
      <c r="A8" s="14">
        <v>3.0</v>
      </c>
      <c r="B8" s="14" t="s">
        <v>120</v>
      </c>
      <c r="C8" s="78" t="s">
        <v>38</v>
      </c>
      <c r="D8" s="15" t="s">
        <v>11</v>
      </c>
      <c r="E8" s="16" t="s">
        <v>110</v>
      </c>
      <c r="F8" s="17">
        <v>1445700.0</v>
      </c>
      <c r="G8" s="18">
        <v>213.0</v>
      </c>
      <c r="H8" s="67"/>
      <c r="I8" s="14">
        <v>75.0</v>
      </c>
    </row>
    <row r="9">
      <c r="A9" s="14">
        <v>4.0</v>
      </c>
      <c r="B9" s="14"/>
      <c r="C9" s="14" t="s">
        <v>59</v>
      </c>
      <c r="D9" s="15" t="s">
        <v>11</v>
      </c>
      <c r="E9" s="16" t="s">
        <v>109</v>
      </c>
      <c r="F9" s="17">
        <v>1649340.0</v>
      </c>
      <c r="G9" s="18">
        <v>294.0</v>
      </c>
      <c r="H9" s="67"/>
      <c r="I9" s="14">
        <v>68.0</v>
      </c>
    </row>
    <row r="10">
      <c r="A10" s="14">
        <v>5.0</v>
      </c>
      <c r="B10" s="33" t="s">
        <v>121</v>
      </c>
      <c r="C10" s="14" t="s">
        <v>38</v>
      </c>
      <c r="D10" s="15" t="s">
        <v>11</v>
      </c>
      <c r="E10" s="16" t="s">
        <v>110</v>
      </c>
      <c r="F10" s="82">
        <v>4048500.0</v>
      </c>
      <c r="G10" s="18">
        <v>192.0</v>
      </c>
      <c r="H10" s="67"/>
      <c r="I10" s="14">
        <v>47.0</v>
      </c>
    </row>
    <row r="11">
      <c r="A11" s="14">
        <v>6.0</v>
      </c>
      <c r="B11" s="20"/>
      <c r="C11" s="14" t="s">
        <v>59</v>
      </c>
      <c r="D11" s="15" t="s">
        <v>11</v>
      </c>
      <c r="E11" s="16" t="s">
        <v>109</v>
      </c>
      <c r="F11" s="17">
        <v>1470000.0</v>
      </c>
      <c r="G11" s="18">
        <v>226.0</v>
      </c>
      <c r="H11" s="67"/>
      <c r="I11" s="14">
        <v>26.0</v>
      </c>
    </row>
    <row r="12">
      <c r="A12" s="14">
        <v>7.0</v>
      </c>
      <c r="B12" s="33" t="s">
        <v>122</v>
      </c>
      <c r="C12" s="14" t="s">
        <v>38</v>
      </c>
      <c r="D12" s="15" t="s">
        <v>11</v>
      </c>
      <c r="E12" s="16" t="s">
        <v>110</v>
      </c>
      <c r="F12" s="24">
        <v>1836000.0</v>
      </c>
      <c r="G12" s="18">
        <v>184.0</v>
      </c>
      <c r="H12" s="23"/>
      <c r="I12" s="14">
        <v>72.0</v>
      </c>
    </row>
    <row r="13">
      <c r="A13" s="14">
        <v>8.0</v>
      </c>
      <c r="B13" s="20"/>
      <c r="C13" s="78" t="s">
        <v>61</v>
      </c>
      <c r="D13" s="15" t="s">
        <v>11</v>
      </c>
      <c r="E13" s="16" t="s">
        <v>109</v>
      </c>
      <c r="F13" s="24">
        <v>300000.0</v>
      </c>
      <c r="G13" s="18">
        <v>296.0</v>
      </c>
      <c r="H13" s="23"/>
      <c r="I13" s="14">
        <v>42.0</v>
      </c>
    </row>
    <row r="14" ht="13.5" customHeight="1">
      <c r="A14" s="14">
        <v>9.0</v>
      </c>
      <c r="B14" s="33" t="s">
        <v>123</v>
      </c>
      <c r="C14" s="78" t="s">
        <v>38</v>
      </c>
      <c r="D14" s="15" t="s">
        <v>11</v>
      </c>
      <c r="E14" s="16" t="s">
        <v>110</v>
      </c>
      <c r="F14" s="24">
        <v>631860.0</v>
      </c>
      <c r="G14" s="18">
        <v>129.0</v>
      </c>
      <c r="H14" s="67"/>
      <c r="I14" s="14">
        <v>53.0</v>
      </c>
    </row>
    <row r="15">
      <c r="A15" s="14">
        <v>10.0</v>
      </c>
      <c r="B15" s="21"/>
      <c r="C15" s="78" t="s">
        <v>61</v>
      </c>
      <c r="D15" s="15" t="s">
        <v>11</v>
      </c>
      <c r="E15" s="16" t="s">
        <v>109</v>
      </c>
      <c r="F15" s="24">
        <v>424800.0</v>
      </c>
      <c r="G15" s="18">
        <v>191.0</v>
      </c>
      <c r="H15" s="67"/>
      <c r="I15" s="14">
        <v>26.0</v>
      </c>
    </row>
    <row r="16">
      <c r="A16" s="14">
        <v>11.0</v>
      </c>
      <c r="B16" s="92" t="s">
        <v>124</v>
      </c>
      <c r="C16" s="78" t="s">
        <v>38</v>
      </c>
      <c r="D16" s="15" t="s">
        <v>11</v>
      </c>
      <c r="E16" s="16" t="s">
        <v>110</v>
      </c>
      <c r="F16" s="24">
        <v>0.0</v>
      </c>
      <c r="G16" s="25">
        <v>108.0</v>
      </c>
      <c r="H16" s="61"/>
      <c r="I16" s="14">
        <v>29.0</v>
      </c>
    </row>
    <row r="17">
      <c r="A17" s="14">
        <v>12.0</v>
      </c>
      <c r="B17" s="21"/>
      <c r="C17" s="78" t="s">
        <v>61</v>
      </c>
      <c r="D17" s="15" t="s">
        <v>11</v>
      </c>
      <c r="E17" s="16" t="s">
        <v>109</v>
      </c>
      <c r="F17" s="17">
        <v>1068840.0</v>
      </c>
      <c r="G17" s="25">
        <v>137.0</v>
      </c>
      <c r="H17" s="61"/>
      <c r="I17" s="14">
        <v>29.0</v>
      </c>
    </row>
    <row r="18">
      <c r="A18" s="14">
        <v>13.0</v>
      </c>
      <c r="B18" s="33" t="s">
        <v>125</v>
      </c>
      <c r="C18" s="14" t="s">
        <v>38</v>
      </c>
      <c r="D18" s="16" t="s">
        <v>11</v>
      </c>
      <c r="E18" s="16" t="s">
        <v>110</v>
      </c>
      <c r="F18" s="24">
        <v>0.0</v>
      </c>
      <c r="G18" s="25">
        <v>139.0</v>
      </c>
      <c r="H18" s="61"/>
      <c r="I18" s="14">
        <v>19.0</v>
      </c>
    </row>
    <row r="19">
      <c r="A19" s="14">
        <v>14.0</v>
      </c>
      <c r="B19" s="21"/>
      <c r="C19" s="78" t="s">
        <v>59</v>
      </c>
      <c r="D19" s="15" t="s">
        <v>11</v>
      </c>
      <c r="E19" s="16" t="s">
        <v>109</v>
      </c>
      <c r="F19" s="24">
        <v>0.0</v>
      </c>
      <c r="G19" s="25">
        <v>206.0</v>
      </c>
      <c r="H19" s="61"/>
      <c r="I19" s="14">
        <v>29.0</v>
      </c>
    </row>
    <row r="20">
      <c r="A20" s="14">
        <v>16.0</v>
      </c>
      <c r="B20" s="33" t="s">
        <v>126</v>
      </c>
      <c r="C20" s="78" t="s">
        <v>38</v>
      </c>
      <c r="D20" s="16" t="s">
        <v>11</v>
      </c>
      <c r="E20" s="16" t="s">
        <v>110</v>
      </c>
      <c r="F20" s="24">
        <v>303840.0</v>
      </c>
      <c r="G20" s="25">
        <v>164.0</v>
      </c>
      <c r="H20" s="61"/>
      <c r="I20" s="14">
        <v>44.0</v>
      </c>
    </row>
    <row r="21">
      <c r="A21" s="14">
        <v>17.0</v>
      </c>
      <c r="B21" s="20"/>
      <c r="C21" s="78" t="s">
        <v>59</v>
      </c>
      <c r="D21" s="16" t="s">
        <v>11</v>
      </c>
      <c r="E21" s="16" t="s">
        <v>109</v>
      </c>
      <c r="F21" s="24">
        <v>2411900.0</v>
      </c>
      <c r="G21" s="25">
        <v>128.0</v>
      </c>
      <c r="H21" s="61"/>
      <c r="I21" s="14">
        <v>14.0</v>
      </c>
    </row>
    <row r="22">
      <c r="A22" s="14">
        <v>19.0</v>
      </c>
      <c r="B22" s="33" t="s">
        <v>127</v>
      </c>
      <c r="C22" s="14" t="s">
        <v>38</v>
      </c>
      <c r="D22" s="16" t="s">
        <v>11</v>
      </c>
      <c r="E22" s="96" t="s">
        <v>128</v>
      </c>
      <c r="F22" s="97"/>
      <c r="G22" s="61"/>
      <c r="H22" s="61"/>
      <c r="I22" s="70"/>
    </row>
    <row r="23">
      <c r="A23" s="14">
        <v>20.0</v>
      </c>
      <c r="B23" s="20"/>
      <c r="C23" s="14" t="s">
        <v>59</v>
      </c>
      <c r="D23" s="16" t="s">
        <v>11</v>
      </c>
      <c r="E23" s="96" t="s">
        <v>128</v>
      </c>
      <c r="F23" s="97"/>
      <c r="G23" s="61"/>
      <c r="H23" s="61"/>
      <c r="I23" s="70"/>
    </row>
    <row r="24">
      <c r="A24" s="14">
        <v>21.0</v>
      </c>
      <c r="B24" s="33" t="s">
        <v>129</v>
      </c>
      <c r="C24" s="78" t="s">
        <v>38</v>
      </c>
      <c r="D24" s="16" t="s">
        <v>11</v>
      </c>
      <c r="E24" s="96" t="s">
        <v>128</v>
      </c>
      <c r="F24" s="97"/>
      <c r="G24" s="61"/>
      <c r="H24" s="61"/>
      <c r="I24" s="70"/>
    </row>
    <row r="25">
      <c r="A25" s="14">
        <v>22.0</v>
      </c>
      <c r="B25" s="20"/>
      <c r="C25" s="78" t="s">
        <v>59</v>
      </c>
      <c r="D25" s="15" t="s">
        <v>11</v>
      </c>
      <c r="E25" s="96" t="s">
        <v>128</v>
      </c>
      <c r="F25" s="97"/>
      <c r="G25" s="61"/>
      <c r="H25" s="61"/>
      <c r="I25" s="70"/>
    </row>
    <row r="26">
      <c r="A26" s="14">
        <v>24.0</v>
      </c>
      <c r="B26" s="14" t="s">
        <v>130</v>
      </c>
      <c r="C26" s="78" t="s">
        <v>61</v>
      </c>
      <c r="D26" s="16" t="s">
        <v>11</v>
      </c>
      <c r="E26" s="16" t="s">
        <v>109</v>
      </c>
      <c r="F26" s="24">
        <v>1684000.0</v>
      </c>
      <c r="G26" s="25">
        <v>183.0</v>
      </c>
      <c r="H26" s="61"/>
      <c r="I26" s="14">
        <v>18.0</v>
      </c>
    </row>
    <row r="27">
      <c r="A27" s="14">
        <v>25.0</v>
      </c>
      <c r="B27" s="92" t="s">
        <v>131</v>
      </c>
      <c r="C27" s="14" t="s">
        <v>62</v>
      </c>
      <c r="D27" s="16" t="s">
        <v>11</v>
      </c>
      <c r="E27" s="16" t="s">
        <v>110</v>
      </c>
      <c r="F27" s="24">
        <v>0.0</v>
      </c>
      <c r="G27" s="25">
        <v>121.0</v>
      </c>
      <c r="H27" s="28"/>
      <c r="I27" s="14">
        <v>30.0</v>
      </c>
    </row>
    <row r="28">
      <c r="A28" s="14">
        <v>26.0</v>
      </c>
      <c r="B28" s="21"/>
      <c r="C28" s="78" t="s">
        <v>59</v>
      </c>
      <c r="D28" s="15" t="s">
        <v>11</v>
      </c>
      <c r="E28" s="16" t="s">
        <v>109</v>
      </c>
      <c r="F28" s="24">
        <v>252000.0</v>
      </c>
      <c r="G28" s="25">
        <v>147.0</v>
      </c>
      <c r="H28" s="61"/>
      <c r="I28" s="14">
        <v>13.0</v>
      </c>
    </row>
    <row r="29">
      <c r="A29" s="14">
        <v>27.0</v>
      </c>
      <c r="B29" s="33" t="s">
        <v>132</v>
      </c>
      <c r="C29" s="78" t="s">
        <v>38</v>
      </c>
      <c r="D29" s="16" t="s">
        <v>11</v>
      </c>
      <c r="E29" s="16" t="s">
        <v>110</v>
      </c>
      <c r="F29" s="24">
        <v>2864860.0</v>
      </c>
      <c r="G29" s="25">
        <v>170.0</v>
      </c>
      <c r="H29" s="61"/>
      <c r="I29" s="14">
        <v>61.0</v>
      </c>
    </row>
    <row r="30">
      <c r="A30" s="14">
        <v>28.0</v>
      </c>
      <c r="B30" s="21"/>
      <c r="C30" s="78" t="s">
        <v>59</v>
      </c>
      <c r="D30" s="16" t="s">
        <v>11</v>
      </c>
      <c r="E30" s="16" t="s">
        <v>109</v>
      </c>
      <c r="F30" s="24">
        <v>389700.0</v>
      </c>
      <c r="G30" s="25">
        <v>184.0</v>
      </c>
      <c r="H30" s="61"/>
      <c r="I30" s="14">
        <v>27.0</v>
      </c>
    </row>
    <row r="31">
      <c r="A31" s="14">
        <v>29.0</v>
      </c>
      <c r="B31" s="33" t="s">
        <v>133</v>
      </c>
      <c r="C31" s="14" t="s">
        <v>38</v>
      </c>
      <c r="D31" s="16" t="s">
        <v>11</v>
      </c>
      <c r="E31" s="16" t="s">
        <v>110</v>
      </c>
      <c r="F31" s="24">
        <v>0.0</v>
      </c>
      <c r="G31" s="25">
        <v>102.0</v>
      </c>
      <c r="H31" s="61"/>
      <c r="I31" s="14">
        <v>55.0</v>
      </c>
    </row>
    <row r="32">
      <c r="A32" s="14">
        <v>30.0</v>
      </c>
      <c r="B32" s="20"/>
      <c r="C32" s="14" t="s">
        <v>59</v>
      </c>
      <c r="D32" s="16" t="s">
        <v>11</v>
      </c>
      <c r="E32" s="16" t="s">
        <v>109</v>
      </c>
      <c r="F32" s="24">
        <v>890000.0</v>
      </c>
      <c r="G32" s="25">
        <v>141.0</v>
      </c>
      <c r="H32" s="61"/>
      <c r="I32" s="14">
        <v>65.0</v>
      </c>
    </row>
    <row r="33">
      <c r="A33" s="14">
        <v>31.0</v>
      </c>
      <c r="B33" s="33" t="s">
        <v>134</v>
      </c>
      <c r="C33" s="78" t="s">
        <v>38</v>
      </c>
      <c r="D33" s="15" t="s">
        <v>11</v>
      </c>
      <c r="E33" s="16" t="s">
        <v>110</v>
      </c>
      <c r="F33" s="24">
        <v>1684000.0</v>
      </c>
      <c r="G33" s="25">
        <v>143.0</v>
      </c>
      <c r="H33" s="61"/>
      <c r="I33" s="14">
        <v>47.0</v>
      </c>
    </row>
    <row r="34">
      <c r="A34" s="14">
        <v>32.0</v>
      </c>
      <c r="B34" s="20"/>
      <c r="C34" s="78" t="s">
        <v>59</v>
      </c>
      <c r="D34" s="16" t="s">
        <v>11</v>
      </c>
      <c r="E34" s="16" t="s">
        <v>109</v>
      </c>
      <c r="F34" s="24">
        <v>119940.0</v>
      </c>
      <c r="G34" s="25">
        <v>190.0</v>
      </c>
      <c r="H34" s="61"/>
      <c r="I34" s="14">
        <v>25.0</v>
      </c>
    </row>
    <row r="35">
      <c r="A35" s="14">
        <v>33.0</v>
      </c>
      <c r="B35" s="33" t="s">
        <v>135</v>
      </c>
      <c r="C35" s="78" t="s">
        <v>62</v>
      </c>
      <c r="D35" s="16" t="s">
        <v>11</v>
      </c>
      <c r="E35" s="16" t="s">
        <v>110</v>
      </c>
      <c r="F35" s="24">
        <v>2551800.0</v>
      </c>
      <c r="G35" s="25">
        <v>131.0</v>
      </c>
      <c r="H35" s="61"/>
      <c r="I35" s="14">
        <v>42.0</v>
      </c>
    </row>
    <row r="36">
      <c r="A36" s="14">
        <v>34.0</v>
      </c>
      <c r="B36" s="20"/>
      <c r="C36" s="78" t="s">
        <v>108</v>
      </c>
      <c r="D36" s="16" t="s">
        <v>11</v>
      </c>
      <c r="E36" s="16" t="s">
        <v>109</v>
      </c>
      <c r="F36" s="24">
        <v>0.0</v>
      </c>
      <c r="G36" s="25">
        <v>108.0</v>
      </c>
      <c r="H36" s="61"/>
      <c r="I36" s="14">
        <v>8.0</v>
      </c>
    </row>
    <row r="37">
      <c r="A37" s="14">
        <v>35.0</v>
      </c>
      <c r="B37" s="33" t="s">
        <v>136</v>
      </c>
      <c r="C37" s="78" t="s">
        <v>62</v>
      </c>
      <c r="D37" s="15" t="s">
        <v>11</v>
      </c>
      <c r="E37" s="16" t="s">
        <v>110</v>
      </c>
      <c r="F37" s="24">
        <v>0.0</v>
      </c>
      <c r="G37" s="25">
        <v>108.0</v>
      </c>
      <c r="H37" s="61"/>
      <c r="I37" s="14">
        <v>52.0</v>
      </c>
    </row>
    <row r="38">
      <c r="A38" s="14">
        <v>36.0</v>
      </c>
      <c r="B38" s="20"/>
      <c r="C38" s="78" t="s">
        <v>61</v>
      </c>
      <c r="D38" s="16" t="s">
        <v>11</v>
      </c>
      <c r="E38" s="16" t="s">
        <v>109</v>
      </c>
      <c r="F38" s="24">
        <v>0.0</v>
      </c>
      <c r="G38" s="25">
        <v>132.0</v>
      </c>
      <c r="H38" s="61"/>
      <c r="I38" s="14">
        <v>1.0</v>
      </c>
    </row>
    <row r="39">
      <c r="A39" s="14">
        <v>37.0</v>
      </c>
      <c r="B39" s="33" t="s">
        <v>137</v>
      </c>
      <c r="C39" s="78" t="s">
        <v>38</v>
      </c>
      <c r="D39" s="16" t="s">
        <v>11</v>
      </c>
      <c r="E39" s="16" t="s">
        <v>110</v>
      </c>
      <c r="F39" s="24">
        <v>840000.0</v>
      </c>
      <c r="G39" s="25">
        <v>85.0</v>
      </c>
      <c r="H39" s="61"/>
      <c r="I39" s="14">
        <v>41.0</v>
      </c>
    </row>
    <row r="40">
      <c r="A40" s="14">
        <v>38.0</v>
      </c>
      <c r="B40" s="20"/>
      <c r="C40" s="78" t="s">
        <v>59</v>
      </c>
      <c r="D40" s="15" t="s">
        <v>11</v>
      </c>
      <c r="E40" s="16" t="s">
        <v>109</v>
      </c>
      <c r="F40" s="24">
        <v>890000.0</v>
      </c>
      <c r="G40" s="25">
        <v>137.0</v>
      </c>
      <c r="H40" s="61"/>
      <c r="I40" s="14">
        <v>41.0</v>
      </c>
    </row>
    <row r="41">
      <c r="A41" s="14">
        <v>39.0</v>
      </c>
      <c r="B41" s="33" t="s">
        <v>138</v>
      </c>
      <c r="C41" s="78" t="s">
        <v>62</v>
      </c>
      <c r="D41" s="15" t="s">
        <v>11</v>
      </c>
      <c r="E41" s="16" t="s">
        <v>110</v>
      </c>
      <c r="F41" s="97"/>
      <c r="G41" s="61"/>
      <c r="H41" s="61"/>
      <c r="I41" s="70"/>
    </row>
    <row r="42">
      <c r="A42" s="14">
        <v>40.0</v>
      </c>
      <c r="B42" s="20"/>
      <c r="C42" s="78" t="s">
        <v>59</v>
      </c>
      <c r="D42" s="15" t="s">
        <v>11</v>
      </c>
      <c r="E42" s="16" t="s">
        <v>109</v>
      </c>
      <c r="F42" s="24">
        <v>890000.0</v>
      </c>
      <c r="G42" s="25">
        <v>168.0</v>
      </c>
      <c r="H42" s="61"/>
      <c r="I42" s="14">
        <v>29.0</v>
      </c>
    </row>
    <row r="43">
      <c r="A43" s="14">
        <v>42.0</v>
      </c>
      <c r="B43" s="33" t="s">
        <v>139</v>
      </c>
      <c r="C43" s="78" t="s">
        <v>38</v>
      </c>
      <c r="D43" s="16" t="s">
        <v>11</v>
      </c>
      <c r="E43" s="16" t="s">
        <v>110</v>
      </c>
      <c r="F43" s="24">
        <v>384700.0</v>
      </c>
      <c r="G43" s="25">
        <v>111.0</v>
      </c>
      <c r="H43" s="61"/>
      <c r="I43" s="14">
        <v>62.0</v>
      </c>
    </row>
    <row r="44">
      <c r="A44" s="14">
        <v>43.0</v>
      </c>
      <c r="B44" s="20"/>
      <c r="C44" s="78" t="s">
        <v>59</v>
      </c>
      <c r="D44" s="16" t="s">
        <v>11</v>
      </c>
      <c r="E44" s="16" t="s">
        <v>109</v>
      </c>
      <c r="F44" s="24">
        <v>1124800.0</v>
      </c>
      <c r="G44" s="25">
        <v>197.0</v>
      </c>
      <c r="H44" s="61"/>
      <c r="I44" s="14">
        <v>36.0</v>
      </c>
    </row>
    <row r="45">
      <c r="A45" s="14">
        <v>45.0</v>
      </c>
      <c r="B45" s="33" t="s">
        <v>140</v>
      </c>
      <c r="C45" s="14" t="s">
        <v>38</v>
      </c>
      <c r="D45" s="16" t="s">
        <v>11</v>
      </c>
      <c r="E45" s="16" t="s">
        <v>110</v>
      </c>
      <c r="F45" s="24">
        <v>4980000.0</v>
      </c>
      <c r="G45" s="25">
        <v>106.0</v>
      </c>
      <c r="H45" s="61"/>
      <c r="I45" s="14">
        <v>31.0</v>
      </c>
    </row>
    <row r="46">
      <c r="A46" s="14">
        <v>46.0</v>
      </c>
      <c r="B46" s="20"/>
      <c r="C46" s="14" t="s">
        <v>59</v>
      </c>
      <c r="D46" s="16" t="s">
        <v>11</v>
      </c>
      <c r="E46" s="16" t="s">
        <v>109</v>
      </c>
      <c r="F46" s="24">
        <v>1983860.0</v>
      </c>
      <c r="G46" s="25">
        <v>153.0</v>
      </c>
      <c r="H46" s="61"/>
      <c r="I46" s="14">
        <v>5.0</v>
      </c>
    </row>
    <row r="47">
      <c r="A47" s="14">
        <v>47.0</v>
      </c>
      <c r="B47" s="33" t="s">
        <v>141</v>
      </c>
      <c r="C47" s="78" t="s">
        <v>38</v>
      </c>
      <c r="D47" s="15" t="s">
        <v>11</v>
      </c>
      <c r="E47" s="16" t="s">
        <v>110</v>
      </c>
      <c r="F47" s="24">
        <v>1894840.0</v>
      </c>
      <c r="G47" s="25">
        <v>199.0</v>
      </c>
      <c r="H47" s="61"/>
      <c r="I47" s="14">
        <v>114.0</v>
      </c>
    </row>
    <row r="48">
      <c r="A48" s="14">
        <v>48.0</v>
      </c>
      <c r="B48" s="21"/>
      <c r="C48" s="78" t="s">
        <v>40</v>
      </c>
      <c r="D48" s="16" t="s">
        <v>11</v>
      </c>
      <c r="E48" s="16" t="s">
        <v>142</v>
      </c>
      <c r="F48" s="24">
        <v>1606620.0</v>
      </c>
      <c r="G48" s="25">
        <v>243.0</v>
      </c>
      <c r="H48" s="61"/>
      <c r="I48" s="14">
        <v>82.0</v>
      </c>
    </row>
    <row r="49">
      <c r="A49" s="14">
        <v>49.0</v>
      </c>
      <c r="B49" s="20"/>
      <c r="C49" s="78" t="s">
        <v>59</v>
      </c>
      <c r="D49" s="16" t="s">
        <v>11</v>
      </c>
      <c r="E49" s="16" t="s">
        <v>109</v>
      </c>
      <c r="F49" s="24">
        <v>9898440.0</v>
      </c>
      <c r="G49" s="25">
        <v>290.0</v>
      </c>
      <c r="H49" s="61"/>
      <c r="I49" s="14">
        <v>74.0</v>
      </c>
    </row>
    <row r="50">
      <c r="A50" s="14">
        <v>50.0</v>
      </c>
      <c r="B50" s="33" t="s">
        <v>143</v>
      </c>
      <c r="C50" s="14" t="s">
        <v>38</v>
      </c>
      <c r="D50" s="16" t="s">
        <v>11</v>
      </c>
      <c r="E50" s="16" t="s">
        <v>109</v>
      </c>
      <c r="F50" s="69">
        <v>0.0</v>
      </c>
      <c r="G50" s="14">
        <v>128.0</v>
      </c>
      <c r="H50" s="70"/>
      <c r="I50" s="14">
        <v>6.0</v>
      </c>
    </row>
    <row r="51">
      <c r="A51" s="14"/>
      <c r="B51" s="21"/>
      <c r="C51" s="14" t="s">
        <v>40</v>
      </c>
      <c r="D51" s="16" t="s">
        <v>11</v>
      </c>
      <c r="E51" s="16" t="s">
        <v>144</v>
      </c>
      <c r="F51" s="69">
        <v>0.0</v>
      </c>
      <c r="G51" s="14">
        <v>129.0</v>
      </c>
      <c r="H51" s="70"/>
      <c r="I51" s="14">
        <v>28.0</v>
      </c>
    </row>
    <row r="52">
      <c r="A52" s="14">
        <v>51.0</v>
      </c>
      <c r="B52" s="20"/>
      <c r="C52" s="14" t="s">
        <v>59</v>
      </c>
      <c r="D52" s="16" t="s">
        <v>11</v>
      </c>
      <c r="E52" s="16" t="s">
        <v>110</v>
      </c>
      <c r="F52" s="69">
        <v>0.0</v>
      </c>
      <c r="G52" s="14">
        <v>156.0</v>
      </c>
      <c r="H52" s="70"/>
      <c r="I52" s="14">
        <v>25.0</v>
      </c>
    </row>
    <row r="53">
      <c r="A53" s="14">
        <v>52.0</v>
      </c>
      <c r="B53" s="33" t="s">
        <v>145</v>
      </c>
      <c r="C53" s="78" t="s">
        <v>38</v>
      </c>
      <c r="D53" s="15" t="s">
        <v>11</v>
      </c>
      <c r="E53" s="16" t="s">
        <v>109</v>
      </c>
      <c r="F53" s="24">
        <v>0.0</v>
      </c>
      <c r="G53" s="25">
        <v>154.0</v>
      </c>
      <c r="H53" s="61"/>
      <c r="I53" s="14">
        <v>36.0</v>
      </c>
    </row>
    <row r="54">
      <c r="A54" s="14">
        <v>53.0</v>
      </c>
      <c r="B54" s="98"/>
      <c r="C54" s="78" t="s">
        <v>59</v>
      </c>
      <c r="D54" s="16" t="s">
        <v>11</v>
      </c>
      <c r="E54" s="16" t="s">
        <v>110</v>
      </c>
      <c r="F54" s="24">
        <v>606940.0</v>
      </c>
      <c r="G54" s="25">
        <v>171.0</v>
      </c>
      <c r="H54" s="28"/>
      <c r="I54" s="14">
        <v>32.0</v>
      </c>
    </row>
    <row r="55">
      <c r="A55" s="14">
        <v>56.0</v>
      </c>
      <c r="B55" s="33" t="s">
        <v>146</v>
      </c>
      <c r="C55" s="14" t="s">
        <v>38</v>
      </c>
      <c r="D55" s="16" t="s">
        <v>11</v>
      </c>
      <c r="E55" s="16" t="s">
        <v>110</v>
      </c>
      <c r="F55" s="69">
        <v>1639920.0</v>
      </c>
      <c r="G55" s="14">
        <v>129.0</v>
      </c>
      <c r="H55" s="70"/>
      <c r="I55" s="14">
        <v>40.0</v>
      </c>
    </row>
    <row r="56">
      <c r="A56" s="14">
        <v>57.0</v>
      </c>
      <c r="B56" s="20"/>
      <c r="C56" s="14" t="s">
        <v>59</v>
      </c>
      <c r="D56" s="16" t="s">
        <v>11</v>
      </c>
      <c r="E56" s="16" t="s">
        <v>109</v>
      </c>
      <c r="F56" s="69">
        <v>385000.0</v>
      </c>
      <c r="G56" s="14">
        <v>177.0</v>
      </c>
      <c r="H56" s="70"/>
      <c r="I56" s="14">
        <v>12.0</v>
      </c>
    </row>
    <row r="57">
      <c r="A57" s="14">
        <v>59.0</v>
      </c>
      <c r="B57" s="33" t="s">
        <v>147</v>
      </c>
      <c r="C57" s="14" t="s">
        <v>38</v>
      </c>
      <c r="D57" s="16" t="s">
        <v>11</v>
      </c>
      <c r="E57" s="16" t="s">
        <v>110</v>
      </c>
      <c r="F57" s="69">
        <v>2558170.0</v>
      </c>
      <c r="G57" s="14">
        <v>166.0</v>
      </c>
      <c r="H57" s="70"/>
      <c r="I57" s="14">
        <v>69.0</v>
      </c>
    </row>
    <row r="58">
      <c r="A58" s="14">
        <v>60.0</v>
      </c>
      <c r="B58" s="20"/>
      <c r="C58" s="14" t="s">
        <v>59</v>
      </c>
      <c r="D58" s="16" t="s">
        <v>11</v>
      </c>
      <c r="E58" s="16" t="s">
        <v>109</v>
      </c>
      <c r="F58" s="69">
        <v>252000.0</v>
      </c>
      <c r="G58" s="14">
        <v>195.0</v>
      </c>
      <c r="H58" s="70"/>
      <c r="I58" s="14">
        <v>28.0</v>
      </c>
    </row>
    <row r="59">
      <c r="A59" s="14">
        <v>61.0</v>
      </c>
      <c r="B59" s="33" t="s">
        <v>148</v>
      </c>
      <c r="C59" s="14" t="s">
        <v>38</v>
      </c>
      <c r="D59" s="16" t="s">
        <v>11</v>
      </c>
      <c r="E59" s="16" t="s">
        <v>110</v>
      </c>
      <c r="F59" s="69">
        <v>2234820.0</v>
      </c>
      <c r="G59" s="14">
        <v>146.0</v>
      </c>
      <c r="H59" s="70"/>
      <c r="I59" s="14">
        <v>47.0</v>
      </c>
    </row>
    <row r="60">
      <c r="A60" s="14">
        <v>62.0</v>
      </c>
      <c r="B60" s="20"/>
      <c r="C60" s="14" t="s">
        <v>59</v>
      </c>
      <c r="D60" s="16" t="s">
        <v>11</v>
      </c>
      <c r="E60" s="16" t="s">
        <v>109</v>
      </c>
      <c r="F60" s="69">
        <v>0.0</v>
      </c>
      <c r="G60" s="14">
        <v>131.0</v>
      </c>
      <c r="H60" s="70"/>
      <c r="I60" s="14">
        <v>8.0</v>
      </c>
    </row>
    <row r="61">
      <c r="A61" s="14">
        <v>63.0</v>
      </c>
      <c r="B61" s="33" t="s">
        <v>149</v>
      </c>
      <c r="C61" s="14" t="s">
        <v>38</v>
      </c>
      <c r="D61" s="16" t="s">
        <v>11</v>
      </c>
      <c r="E61" s="16" t="s">
        <v>109</v>
      </c>
      <c r="F61" s="69">
        <v>0.0</v>
      </c>
      <c r="G61" s="14">
        <v>168.0</v>
      </c>
      <c r="H61" s="70"/>
      <c r="I61" s="14">
        <v>10.0</v>
      </c>
    </row>
    <row r="62">
      <c r="A62" s="14">
        <v>64.0</v>
      </c>
      <c r="B62" s="20"/>
      <c r="C62" s="14" t="s">
        <v>59</v>
      </c>
      <c r="D62" s="16" t="s">
        <v>11</v>
      </c>
      <c r="E62" s="16" t="s">
        <v>110</v>
      </c>
      <c r="F62" s="69">
        <v>2159840.0</v>
      </c>
      <c r="G62" s="14">
        <v>199.0</v>
      </c>
      <c r="H62" s="70"/>
      <c r="I62" s="14">
        <v>29.0</v>
      </c>
    </row>
    <row r="63">
      <c r="A63" s="14">
        <v>65.0</v>
      </c>
      <c r="B63" s="76">
        <v>46054.0</v>
      </c>
      <c r="C63" s="14" t="s">
        <v>38</v>
      </c>
      <c r="D63" s="16" t="s">
        <v>11</v>
      </c>
      <c r="E63" s="16" t="s">
        <v>110</v>
      </c>
      <c r="F63" s="69">
        <v>4019600.0</v>
      </c>
      <c r="G63" s="14">
        <v>309.0</v>
      </c>
      <c r="H63" s="70"/>
      <c r="I63" s="14">
        <v>60.0</v>
      </c>
    </row>
    <row r="64">
      <c r="A64" s="14">
        <v>66.0</v>
      </c>
      <c r="B64" s="20"/>
      <c r="C64" s="14" t="s">
        <v>59</v>
      </c>
      <c r="D64" s="16" t="s">
        <v>11</v>
      </c>
      <c r="E64" s="16" t="s">
        <v>109</v>
      </c>
      <c r="F64" s="69">
        <v>6909300.0</v>
      </c>
      <c r="G64" s="14">
        <v>347.0</v>
      </c>
      <c r="H64" s="70"/>
      <c r="I64" s="14">
        <v>48.0</v>
      </c>
    </row>
    <row r="65">
      <c r="A65" s="14">
        <v>67.0</v>
      </c>
      <c r="B65" s="76">
        <v>46055.0</v>
      </c>
      <c r="C65" s="14" t="s">
        <v>38</v>
      </c>
      <c r="D65" s="16" t="s">
        <v>11</v>
      </c>
      <c r="E65" s="16" t="s">
        <v>110</v>
      </c>
      <c r="F65" s="69">
        <v>1236920.0</v>
      </c>
      <c r="G65" s="14">
        <v>155.0</v>
      </c>
      <c r="H65" s="70"/>
      <c r="I65" s="14">
        <v>76.0</v>
      </c>
    </row>
    <row r="66">
      <c r="A66" s="14"/>
      <c r="B66" s="21"/>
      <c r="C66" s="14" t="s">
        <v>40</v>
      </c>
      <c r="D66" s="16" t="s">
        <v>11</v>
      </c>
      <c r="E66" s="16" t="s">
        <v>110</v>
      </c>
      <c r="F66" s="99">
        <v>2945750.0</v>
      </c>
      <c r="G66" s="100">
        <v>334.0</v>
      </c>
      <c r="H66" s="101"/>
      <c r="I66" s="102">
        <v>117.0</v>
      </c>
    </row>
    <row r="67">
      <c r="A67" s="14">
        <v>68.0</v>
      </c>
      <c r="B67" s="20"/>
      <c r="C67" s="14" t="s">
        <v>59</v>
      </c>
      <c r="D67" s="16" t="s">
        <v>11</v>
      </c>
      <c r="E67" s="16" t="s">
        <v>109</v>
      </c>
      <c r="F67" s="103"/>
      <c r="G67" s="104"/>
      <c r="H67" s="104"/>
      <c r="I67" s="105"/>
    </row>
    <row r="68">
      <c r="A68" s="14">
        <v>69.0</v>
      </c>
      <c r="B68" s="76">
        <v>46056.0</v>
      </c>
      <c r="C68" s="14" t="s">
        <v>38</v>
      </c>
      <c r="D68" s="16" t="s">
        <v>11</v>
      </c>
      <c r="E68" s="16" t="s">
        <v>110</v>
      </c>
      <c r="F68" s="69">
        <v>0.0</v>
      </c>
      <c r="G68" s="14">
        <v>96.0</v>
      </c>
      <c r="H68" s="70"/>
      <c r="I68" s="14">
        <v>45.0</v>
      </c>
    </row>
    <row r="69">
      <c r="A69" s="14"/>
      <c r="B69" s="21"/>
      <c r="C69" s="14" t="s">
        <v>40</v>
      </c>
      <c r="D69" s="16" t="s">
        <v>11</v>
      </c>
      <c r="E69" s="16" t="s">
        <v>110</v>
      </c>
      <c r="F69" s="106">
        <v>0.0</v>
      </c>
      <c r="G69" s="14">
        <v>160.0</v>
      </c>
      <c r="H69" s="70"/>
      <c r="I69" s="14">
        <v>40.0</v>
      </c>
    </row>
    <row r="70">
      <c r="A70" s="14">
        <v>70.0</v>
      </c>
      <c r="B70" s="20"/>
      <c r="C70" s="14"/>
      <c r="D70" s="16"/>
      <c r="E70" s="16"/>
      <c r="F70" s="24"/>
      <c r="G70" s="14"/>
      <c r="H70" s="14"/>
      <c r="I70" s="14"/>
    </row>
    <row r="71">
      <c r="F71" s="71">
        <f>SUM(F6:F70)</f>
        <v>82445600</v>
      </c>
    </row>
  </sheetData>
  <mergeCells count="29">
    <mergeCell ref="A2:C3"/>
    <mergeCell ref="B6:B7"/>
    <mergeCell ref="B10:B11"/>
    <mergeCell ref="B12:B13"/>
    <mergeCell ref="B14:B15"/>
    <mergeCell ref="B16:B17"/>
    <mergeCell ref="B18:B19"/>
    <mergeCell ref="B20:B21"/>
    <mergeCell ref="B22:B23"/>
    <mergeCell ref="B24:B25"/>
    <mergeCell ref="B27:B28"/>
    <mergeCell ref="B29:B30"/>
    <mergeCell ref="B31:B32"/>
    <mergeCell ref="B33:B34"/>
    <mergeCell ref="B50:B52"/>
    <mergeCell ref="B55:B56"/>
    <mergeCell ref="B57:B58"/>
    <mergeCell ref="B59:B60"/>
    <mergeCell ref="B61:B62"/>
    <mergeCell ref="B63:B64"/>
    <mergeCell ref="B65:B67"/>
    <mergeCell ref="B68:B70"/>
    <mergeCell ref="B35:B36"/>
    <mergeCell ref="B37:B38"/>
    <mergeCell ref="B39:B40"/>
    <mergeCell ref="B41:B42"/>
    <mergeCell ref="B43:B44"/>
    <mergeCell ref="B45:B46"/>
    <mergeCell ref="B47:B4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2">
      <c r="A2" s="3" t="s">
        <v>0</v>
      </c>
      <c r="B2" s="4"/>
      <c r="C2" s="5"/>
    </row>
    <row r="3">
      <c r="A3" s="6"/>
      <c r="B3" s="7"/>
      <c r="C3" s="8"/>
    </row>
    <row r="5">
      <c r="A5" s="9" t="s">
        <v>1</v>
      </c>
      <c r="B5" s="9" t="s">
        <v>2</v>
      </c>
      <c r="C5" s="9" t="s">
        <v>3</v>
      </c>
      <c r="D5" s="9" t="s">
        <v>5</v>
      </c>
      <c r="E5" s="10" t="s">
        <v>6</v>
      </c>
      <c r="F5" s="9" t="s">
        <v>7</v>
      </c>
      <c r="G5" s="9" t="s">
        <v>8</v>
      </c>
      <c r="H5" s="75" t="s">
        <v>58</v>
      </c>
    </row>
    <row r="6">
      <c r="A6" s="14">
        <v>1.0</v>
      </c>
      <c r="B6" s="33" t="s">
        <v>150</v>
      </c>
      <c r="C6" s="14" t="s">
        <v>151</v>
      </c>
      <c r="D6" s="16" t="s">
        <v>109</v>
      </c>
      <c r="E6" s="24">
        <v>0.0</v>
      </c>
      <c r="F6" s="25">
        <v>234.0</v>
      </c>
      <c r="G6" s="67"/>
      <c r="H6" s="14"/>
    </row>
    <row r="7">
      <c r="A7" s="14">
        <v>3.0</v>
      </c>
      <c r="B7" s="92" t="s">
        <v>152</v>
      </c>
      <c r="C7" s="78" t="s">
        <v>38</v>
      </c>
      <c r="D7" s="16" t="s">
        <v>110</v>
      </c>
      <c r="E7" s="17">
        <v>0.0</v>
      </c>
      <c r="F7" s="18">
        <v>140.0</v>
      </c>
      <c r="G7" s="67"/>
      <c r="H7" s="14"/>
    </row>
    <row r="8">
      <c r="A8" s="14">
        <v>4.0</v>
      </c>
      <c r="B8" s="107"/>
      <c r="C8" s="14" t="s">
        <v>59</v>
      </c>
      <c r="D8" s="16" t="s">
        <v>109</v>
      </c>
      <c r="E8" s="17">
        <v>0.0</v>
      </c>
      <c r="F8" s="18">
        <v>176.0</v>
      </c>
      <c r="G8" s="67"/>
      <c r="H8" s="14"/>
    </row>
    <row r="9">
      <c r="A9" s="14">
        <v>5.0</v>
      </c>
      <c r="B9" s="33" t="s">
        <v>153</v>
      </c>
      <c r="C9" s="14" t="s">
        <v>38</v>
      </c>
      <c r="D9" s="16" t="s">
        <v>110</v>
      </c>
      <c r="E9" s="82" t="s">
        <v>154</v>
      </c>
      <c r="F9" s="18">
        <v>38.0</v>
      </c>
      <c r="G9" s="67"/>
      <c r="H9" s="14"/>
    </row>
    <row r="10">
      <c r="A10" s="14">
        <v>6.0</v>
      </c>
      <c r="B10" s="107"/>
      <c r="C10" s="14" t="s">
        <v>59</v>
      </c>
      <c r="D10" s="16" t="s">
        <v>109</v>
      </c>
      <c r="E10" s="17">
        <v>0.0</v>
      </c>
      <c r="F10" s="18">
        <v>131.0</v>
      </c>
      <c r="G10" s="67"/>
      <c r="H10" s="14"/>
    </row>
    <row r="11">
      <c r="A11" s="14"/>
      <c r="B11" s="92" t="s">
        <v>155</v>
      </c>
      <c r="C11" s="14" t="s">
        <v>38</v>
      </c>
      <c r="D11" s="16" t="s">
        <v>156</v>
      </c>
      <c r="E11" s="17" t="s">
        <v>157</v>
      </c>
      <c r="F11" s="18">
        <v>124.0</v>
      </c>
      <c r="G11" s="67"/>
      <c r="H11" s="14"/>
    </row>
    <row r="12">
      <c r="A12" s="14"/>
      <c r="B12" s="92"/>
      <c r="C12" s="14" t="s">
        <v>151</v>
      </c>
      <c r="D12" s="16" t="s">
        <v>109</v>
      </c>
      <c r="E12" s="17">
        <v>0.0</v>
      </c>
      <c r="F12" s="18">
        <v>145.0</v>
      </c>
      <c r="G12" s="67"/>
      <c r="H12" s="14"/>
    </row>
    <row r="13">
      <c r="A13" s="14">
        <v>7.0</v>
      </c>
      <c r="B13" s="33" t="s">
        <v>158</v>
      </c>
      <c r="C13" s="14" t="s">
        <v>38</v>
      </c>
      <c r="D13" s="16" t="s">
        <v>110</v>
      </c>
      <c r="E13" s="24">
        <v>0.0</v>
      </c>
      <c r="F13" s="18">
        <v>142.0</v>
      </c>
      <c r="G13" s="23"/>
      <c r="H13" s="14"/>
    </row>
    <row r="14">
      <c r="A14" s="14">
        <v>8.0</v>
      </c>
      <c r="B14" s="107"/>
      <c r="C14" s="78" t="s">
        <v>61</v>
      </c>
      <c r="D14" s="16" t="s">
        <v>109</v>
      </c>
      <c r="E14" s="24">
        <v>0.0</v>
      </c>
      <c r="F14" s="18">
        <v>170.0</v>
      </c>
      <c r="G14" s="23"/>
      <c r="H14" s="14"/>
    </row>
    <row r="15" ht="13.5" customHeight="1">
      <c r="A15" s="14">
        <v>9.0</v>
      </c>
      <c r="B15" s="33" t="s">
        <v>159</v>
      </c>
      <c r="C15" s="78" t="s">
        <v>38</v>
      </c>
      <c r="D15" s="16" t="s">
        <v>110</v>
      </c>
      <c r="E15" s="24">
        <v>0.0</v>
      </c>
      <c r="F15" s="18">
        <v>194.0</v>
      </c>
      <c r="G15" s="67"/>
      <c r="H15" s="14"/>
    </row>
    <row r="16">
      <c r="A16" s="14">
        <v>10.0</v>
      </c>
      <c r="B16" s="92"/>
      <c r="C16" s="78" t="s">
        <v>61</v>
      </c>
      <c r="D16" s="16" t="s">
        <v>109</v>
      </c>
      <c r="E16" s="24" t="s">
        <v>160</v>
      </c>
      <c r="F16" s="18"/>
      <c r="G16" s="67"/>
      <c r="H16" s="14"/>
    </row>
    <row r="17">
      <c r="A17" s="14">
        <v>11.0</v>
      </c>
      <c r="B17" s="92" t="s">
        <v>161</v>
      </c>
      <c r="C17" s="78" t="s">
        <v>38</v>
      </c>
      <c r="D17" s="16" t="s">
        <v>110</v>
      </c>
      <c r="E17" s="24">
        <v>0.0</v>
      </c>
      <c r="F17" s="25">
        <v>87.0</v>
      </c>
      <c r="G17" s="61"/>
      <c r="H17" s="14"/>
    </row>
    <row r="18">
      <c r="A18" s="14">
        <v>12.0</v>
      </c>
      <c r="B18" s="92"/>
      <c r="C18" s="78" t="s">
        <v>61</v>
      </c>
      <c r="D18" s="16" t="s">
        <v>109</v>
      </c>
      <c r="E18" s="17" t="s">
        <v>162</v>
      </c>
      <c r="F18" s="25">
        <v>157.0</v>
      </c>
      <c r="G18" s="61"/>
      <c r="H18" s="14"/>
    </row>
    <row r="19">
      <c r="A19" s="14">
        <v>13.0</v>
      </c>
      <c r="B19" s="33" t="s">
        <v>163</v>
      </c>
      <c r="C19" s="14" t="s">
        <v>38</v>
      </c>
      <c r="D19" s="16" t="s">
        <v>110</v>
      </c>
      <c r="E19" s="24">
        <v>0.0</v>
      </c>
      <c r="F19" s="25">
        <v>96.0</v>
      </c>
      <c r="G19" s="61"/>
      <c r="H19" s="14"/>
    </row>
    <row r="20">
      <c r="A20" s="14">
        <v>14.0</v>
      </c>
      <c r="B20" s="92"/>
      <c r="C20" s="78" t="s">
        <v>59</v>
      </c>
      <c r="D20" s="16" t="s">
        <v>109</v>
      </c>
      <c r="E20" s="24">
        <v>0.0</v>
      </c>
      <c r="F20" s="25">
        <v>57.0</v>
      </c>
      <c r="G20" s="61"/>
      <c r="H20" s="14"/>
    </row>
    <row r="21">
      <c r="A21" s="14">
        <v>16.0</v>
      </c>
      <c r="B21" s="33" t="s">
        <v>164</v>
      </c>
      <c r="C21" s="78" t="s">
        <v>38</v>
      </c>
      <c r="D21" s="16" t="s">
        <v>110</v>
      </c>
      <c r="E21" s="24">
        <v>0.0</v>
      </c>
      <c r="F21" s="25">
        <v>100.0</v>
      </c>
      <c r="G21" s="61"/>
      <c r="H21" s="14"/>
    </row>
    <row r="22">
      <c r="A22" s="14">
        <v>17.0</v>
      </c>
      <c r="B22" s="107"/>
      <c r="C22" s="78" t="s">
        <v>59</v>
      </c>
      <c r="D22" s="16" t="s">
        <v>109</v>
      </c>
      <c r="E22" s="24">
        <v>0.0</v>
      </c>
      <c r="F22" s="25">
        <v>130.0</v>
      </c>
      <c r="G22" s="61"/>
      <c r="H22" s="14"/>
    </row>
    <row r="23">
      <c r="A23" s="14">
        <v>19.0</v>
      </c>
      <c r="B23" s="33" t="s">
        <v>165</v>
      </c>
      <c r="C23" s="14" t="s">
        <v>38</v>
      </c>
      <c r="D23" s="108" t="s">
        <v>110</v>
      </c>
      <c r="E23" s="24">
        <v>0.0</v>
      </c>
      <c r="F23" s="25">
        <v>109.0</v>
      </c>
      <c r="G23" s="61"/>
      <c r="H23" s="70"/>
    </row>
    <row r="24">
      <c r="A24" s="14">
        <v>21.0</v>
      </c>
      <c r="B24" s="33" t="s">
        <v>166</v>
      </c>
      <c r="C24" s="78" t="s">
        <v>38</v>
      </c>
      <c r="D24" s="108" t="s">
        <v>110</v>
      </c>
      <c r="E24" s="24">
        <v>2234820.0</v>
      </c>
      <c r="F24" s="25">
        <v>154.0</v>
      </c>
      <c r="G24" s="61"/>
      <c r="H24" s="70"/>
    </row>
    <row r="25">
      <c r="A25" s="14">
        <v>22.0</v>
      </c>
      <c r="B25" s="107"/>
      <c r="C25" s="78" t="s">
        <v>59</v>
      </c>
      <c r="D25" s="108" t="s">
        <v>167</v>
      </c>
      <c r="E25" s="24" t="s">
        <v>168</v>
      </c>
      <c r="F25" s="25">
        <v>202.0</v>
      </c>
      <c r="G25" s="61"/>
      <c r="H25" s="70"/>
    </row>
    <row r="26">
      <c r="A26" s="14">
        <v>24.0</v>
      </c>
      <c r="B26" s="14" t="s">
        <v>169</v>
      </c>
      <c r="C26" s="78" t="s">
        <v>38</v>
      </c>
      <c r="D26" s="16" t="s">
        <v>110</v>
      </c>
      <c r="E26" s="24" t="s">
        <v>170</v>
      </c>
      <c r="F26" s="25">
        <v>135.0</v>
      </c>
      <c r="G26" s="61"/>
      <c r="H26" s="14"/>
    </row>
    <row r="27">
      <c r="A27" s="14">
        <v>25.0</v>
      </c>
      <c r="B27" s="92"/>
      <c r="C27" s="14" t="s">
        <v>59</v>
      </c>
      <c r="D27" s="16" t="s">
        <v>109</v>
      </c>
      <c r="E27" s="24">
        <v>0.0</v>
      </c>
      <c r="F27" s="25">
        <v>198.0</v>
      </c>
      <c r="G27" s="28"/>
      <c r="H27" s="14"/>
    </row>
    <row r="28">
      <c r="A28" s="14">
        <v>26.0</v>
      </c>
      <c r="B28" s="92" t="s">
        <v>171</v>
      </c>
      <c r="C28" s="78" t="s">
        <v>38</v>
      </c>
      <c r="D28" s="16" t="s">
        <v>110</v>
      </c>
      <c r="E28" s="24" t="s">
        <v>172</v>
      </c>
      <c r="F28" s="25">
        <v>160.0</v>
      </c>
      <c r="G28" s="61"/>
      <c r="H28" s="14"/>
    </row>
    <row r="29">
      <c r="A29" s="14">
        <v>27.0</v>
      </c>
      <c r="B29" s="33"/>
      <c r="C29" s="78" t="s">
        <v>59</v>
      </c>
      <c r="D29" s="16" t="s">
        <v>109</v>
      </c>
      <c r="E29" s="24" t="s">
        <v>173</v>
      </c>
      <c r="F29" s="25">
        <v>210.0</v>
      </c>
      <c r="G29" s="61"/>
      <c r="H29" s="14"/>
    </row>
    <row r="30">
      <c r="A30" s="14">
        <v>28.0</v>
      </c>
      <c r="B30" s="92" t="s">
        <v>174</v>
      </c>
      <c r="C30" s="78" t="s">
        <v>175</v>
      </c>
      <c r="D30" s="16" t="s">
        <v>110</v>
      </c>
      <c r="E30" s="24">
        <v>0.0</v>
      </c>
      <c r="F30" s="25">
        <v>116.0</v>
      </c>
      <c r="G30" s="61"/>
      <c r="H30" s="14"/>
    </row>
    <row r="31">
      <c r="A31" s="14">
        <v>29.0</v>
      </c>
      <c r="B31" s="33"/>
      <c r="C31" s="14" t="s">
        <v>59</v>
      </c>
      <c r="D31" s="16" t="s">
        <v>109</v>
      </c>
      <c r="E31" s="24">
        <v>0.0</v>
      </c>
      <c r="F31" s="25">
        <v>163.0</v>
      </c>
      <c r="G31" s="61"/>
      <c r="H31" s="14"/>
    </row>
    <row r="32">
      <c r="A32" s="14">
        <v>30.0</v>
      </c>
      <c r="B32" s="107" t="s">
        <v>176</v>
      </c>
      <c r="C32" s="14" t="s">
        <v>38</v>
      </c>
      <c r="D32" s="16" t="s">
        <v>110</v>
      </c>
      <c r="E32" s="24">
        <v>0.0</v>
      </c>
      <c r="F32" s="25">
        <v>10.0</v>
      </c>
      <c r="G32" s="61"/>
      <c r="H32" s="14"/>
    </row>
    <row r="33">
      <c r="A33" s="14">
        <v>31.0</v>
      </c>
      <c r="B33" s="33"/>
      <c r="C33" s="78" t="s">
        <v>151</v>
      </c>
      <c r="D33" s="16" t="s">
        <v>109</v>
      </c>
      <c r="E33" s="24">
        <v>0.0</v>
      </c>
      <c r="F33" s="25">
        <v>152.0</v>
      </c>
      <c r="G33" s="61"/>
      <c r="H33" s="14"/>
    </row>
    <row r="34">
      <c r="A34" s="14">
        <v>32.0</v>
      </c>
      <c r="B34" s="107" t="s">
        <v>177</v>
      </c>
      <c r="C34" s="78" t="s">
        <v>38</v>
      </c>
      <c r="D34" s="16" t="s">
        <v>110</v>
      </c>
      <c r="E34" s="24">
        <v>0.0</v>
      </c>
      <c r="F34" s="25">
        <v>85.0</v>
      </c>
      <c r="G34" s="61"/>
      <c r="H34" s="14"/>
    </row>
    <row r="35">
      <c r="A35" s="14">
        <v>33.0</v>
      </c>
      <c r="B35" s="33"/>
      <c r="C35" s="78" t="s">
        <v>178</v>
      </c>
      <c r="D35" s="16" t="s">
        <v>109</v>
      </c>
      <c r="E35" s="24">
        <v>0.0</v>
      </c>
      <c r="F35" s="25">
        <v>187.0</v>
      </c>
      <c r="G35" s="61"/>
      <c r="H35" s="14"/>
    </row>
    <row r="36">
      <c r="A36" s="14">
        <v>34.0</v>
      </c>
      <c r="B36" s="107" t="s">
        <v>179</v>
      </c>
      <c r="C36" s="78" t="s">
        <v>38</v>
      </c>
      <c r="D36" s="16" t="s">
        <v>110</v>
      </c>
      <c r="E36" s="24">
        <v>0.0</v>
      </c>
      <c r="F36" s="25">
        <v>115.0</v>
      </c>
      <c r="G36" s="61"/>
      <c r="H36" s="14"/>
    </row>
    <row r="37">
      <c r="A37" s="14">
        <v>35.0</v>
      </c>
      <c r="B37" s="33"/>
      <c r="C37" s="78" t="s">
        <v>178</v>
      </c>
      <c r="D37" s="16" t="s">
        <v>109</v>
      </c>
      <c r="E37" s="24">
        <v>0.0</v>
      </c>
      <c r="F37" s="25">
        <v>156.0</v>
      </c>
      <c r="G37" s="61"/>
      <c r="H37" s="14"/>
    </row>
    <row r="38">
      <c r="A38" s="14">
        <v>36.0</v>
      </c>
      <c r="B38" s="107" t="s">
        <v>180</v>
      </c>
      <c r="C38" s="78" t="s">
        <v>38</v>
      </c>
      <c r="D38" s="16" t="s">
        <v>110</v>
      </c>
      <c r="E38" s="24">
        <v>0.0</v>
      </c>
      <c r="F38" s="25">
        <v>103.0</v>
      </c>
      <c r="G38" s="61"/>
      <c r="H38" s="14"/>
    </row>
    <row r="39">
      <c r="A39" s="14">
        <v>37.0</v>
      </c>
      <c r="B39" s="33"/>
      <c r="C39" s="78" t="s">
        <v>59</v>
      </c>
      <c r="D39" s="16" t="s">
        <v>109</v>
      </c>
      <c r="E39" s="24">
        <v>0.0</v>
      </c>
      <c r="F39" s="25">
        <v>140.0</v>
      </c>
      <c r="G39" s="61"/>
      <c r="H39" s="14"/>
    </row>
    <row r="40">
      <c r="A40" s="14">
        <v>38.0</v>
      </c>
      <c r="B40" s="107" t="s">
        <v>181</v>
      </c>
      <c r="C40" s="78" t="s">
        <v>38</v>
      </c>
      <c r="D40" s="16" t="s">
        <v>110</v>
      </c>
      <c r="E40" s="24">
        <v>0.0</v>
      </c>
      <c r="F40" s="25">
        <v>112.0</v>
      </c>
      <c r="G40" s="61"/>
      <c r="H40" s="14"/>
    </row>
    <row r="41">
      <c r="A41" s="14">
        <v>39.0</v>
      </c>
      <c r="B41" s="33"/>
      <c r="C41" s="78" t="s">
        <v>59</v>
      </c>
      <c r="D41" s="16" t="s">
        <v>109</v>
      </c>
      <c r="E41" s="24">
        <v>0.0</v>
      </c>
      <c r="F41" s="25">
        <v>101.0</v>
      </c>
      <c r="G41" s="61"/>
      <c r="H41" s="70"/>
    </row>
    <row r="42">
      <c r="A42" s="14">
        <v>40.0</v>
      </c>
      <c r="B42" s="107" t="s">
        <v>182</v>
      </c>
      <c r="C42" s="78" t="s">
        <v>175</v>
      </c>
      <c r="D42" s="16" t="s">
        <v>110</v>
      </c>
      <c r="E42" s="24" t="s">
        <v>183</v>
      </c>
      <c r="F42" s="25">
        <v>159.0</v>
      </c>
      <c r="G42" s="61"/>
      <c r="H42" s="14"/>
    </row>
    <row r="43">
      <c r="A43" s="14">
        <v>42.0</v>
      </c>
      <c r="B43" s="33"/>
      <c r="C43" s="78" t="s">
        <v>59</v>
      </c>
      <c r="D43" s="16" t="s">
        <v>109</v>
      </c>
      <c r="E43" s="24" t="s">
        <v>184</v>
      </c>
      <c r="F43" s="25">
        <v>152.0</v>
      </c>
      <c r="G43" s="61"/>
      <c r="H43" s="14"/>
    </row>
    <row r="44">
      <c r="A44" s="14">
        <v>43.0</v>
      </c>
      <c r="B44" s="107" t="s">
        <v>185</v>
      </c>
      <c r="C44" s="78" t="s">
        <v>38</v>
      </c>
      <c r="D44" s="16" t="s">
        <v>110</v>
      </c>
      <c r="E44" s="24">
        <v>0.0</v>
      </c>
      <c r="F44" s="25">
        <v>82.0</v>
      </c>
      <c r="G44" s="61"/>
      <c r="H44" s="14"/>
    </row>
    <row r="45">
      <c r="A45" s="14">
        <v>45.0</v>
      </c>
      <c r="B45" s="33"/>
      <c r="C45" s="14" t="s">
        <v>59</v>
      </c>
      <c r="D45" s="16" t="s">
        <v>109</v>
      </c>
      <c r="E45" s="24">
        <v>0.0</v>
      </c>
      <c r="F45" s="25">
        <v>90.0</v>
      </c>
      <c r="G45" s="61"/>
      <c r="H45" s="14"/>
    </row>
    <row r="46">
      <c r="A46" s="14">
        <v>46.0</v>
      </c>
      <c r="B46" s="107" t="s">
        <v>186</v>
      </c>
      <c r="C46" s="14" t="s">
        <v>38</v>
      </c>
      <c r="D46" s="16" t="s">
        <v>110</v>
      </c>
      <c r="E46" s="24" t="s">
        <v>187</v>
      </c>
      <c r="F46" s="25">
        <v>113.0</v>
      </c>
      <c r="G46" s="61"/>
      <c r="H46" s="14"/>
    </row>
    <row r="47">
      <c r="A47" s="14">
        <v>47.0</v>
      </c>
      <c r="B47" s="33"/>
      <c r="C47" s="78" t="s">
        <v>59</v>
      </c>
      <c r="D47" s="16" t="s">
        <v>109</v>
      </c>
      <c r="E47" s="24">
        <v>0.0</v>
      </c>
      <c r="F47" s="25">
        <v>147.0</v>
      </c>
      <c r="G47" s="61"/>
      <c r="H47" s="14"/>
    </row>
    <row r="48">
      <c r="A48" s="14">
        <v>48.0</v>
      </c>
      <c r="B48" s="92" t="s">
        <v>188</v>
      </c>
      <c r="C48" s="78" t="s">
        <v>38</v>
      </c>
      <c r="D48" s="16" t="s">
        <v>110</v>
      </c>
      <c r="E48" s="24" t="s">
        <v>189</v>
      </c>
      <c r="F48" s="25">
        <v>83.0</v>
      </c>
      <c r="G48" s="61"/>
      <c r="H48" s="14"/>
    </row>
    <row r="49">
      <c r="A49" s="14">
        <v>49.0</v>
      </c>
      <c r="B49" s="107"/>
      <c r="C49" s="78" t="s">
        <v>40</v>
      </c>
      <c r="D49" s="16" t="s">
        <v>190</v>
      </c>
      <c r="E49" s="24" t="s">
        <v>191</v>
      </c>
      <c r="F49" s="25">
        <v>139.0</v>
      </c>
      <c r="G49" s="61"/>
      <c r="H49" s="14"/>
    </row>
    <row r="50">
      <c r="A50" s="14"/>
      <c r="B50" s="92"/>
      <c r="C50" s="78" t="s">
        <v>59</v>
      </c>
      <c r="D50" s="16" t="s">
        <v>109</v>
      </c>
      <c r="E50" s="24" t="s">
        <v>192</v>
      </c>
      <c r="F50" s="25">
        <v>128.0</v>
      </c>
      <c r="G50" s="61"/>
      <c r="H50" s="14"/>
    </row>
    <row r="51">
      <c r="A51" s="14">
        <v>50.0</v>
      </c>
      <c r="B51" s="33" t="s">
        <v>193</v>
      </c>
      <c r="C51" s="14" t="s">
        <v>38</v>
      </c>
      <c r="D51" s="16" t="s">
        <v>156</v>
      </c>
      <c r="E51" s="69">
        <v>0.0</v>
      </c>
      <c r="F51" s="14">
        <v>67.0</v>
      </c>
      <c r="G51" s="70"/>
      <c r="H51" s="14"/>
    </row>
    <row r="52">
      <c r="A52" s="14"/>
      <c r="B52" s="92"/>
      <c r="C52" s="14" t="s">
        <v>40</v>
      </c>
      <c r="D52" s="16" t="s">
        <v>60</v>
      </c>
      <c r="E52" s="69">
        <v>0.0</v>
      </c>
      <c r="F52" s="14">
        <v>180.0</v>
      </c>
      <c r="G52" s="70"/>
      <c r="H52" s="14"/>
    </row>
    <row r="53">
      <c r="A53" s="14">
        <v>51.0</v>
      </c>
      <c r="B53" s="107"/>
      <c r="C53" s="14" t="s">
        <v>59</v>
      </c>
      <c r="D53" s="16" t="s">
        <v>109</v>
      </c>
      <c r="E53" s="69">
        <v>0.0</v>
      </c>
      <c r="F53" s="14">
        <v>62.0</v>
      </c>
      <c r="G53" s="70"/>
      <c r="H53" s="14"/>
    </row>
    <row r="54">
      <c r="A54" s="14">
        <v>52.0</v>
      </c>
      <c r="B54" s="33"/>
      <c r="C54" s="78" t="s">
        <v>38</v>
      </c>
      <c r="D54" s="16" t="s">
        <v>156</v>
      </c>
      <c r="E54" s="24">
        <v>0.0</v>
      </c>
      <c r="F54" s="25">
        <v>84.0</v>
      </c>
      <c r="G54" s="61"/>
      <c r="H54" s="14"/>
    </row>
    <row r="55">
      <c r="A55" s="14">
        <v>53.0</v>
      </c>
      <c r="B55" s="107" t="s">
        <v>194</v>
      </c>
      <c r="C55" s="78" t="s">
        <v>59</v>
      </c>
      <c r="D55" s="16" t="s">
        <v>109</v>
      </c>
      <c r="E55" s="24" t="s">
        <v>195</v>
      </c>
      <c r="F55" s="25">
        <v>122.0</v>
      </c>
      <c r="G55" s="28"/>
      <c r="H55" s="14"/>
    </row>
    <row r="56">
      <c r="A56" s="14">
        <v>56.0</v>
      </c>
      <c r="B56" s="33"/>
      <c r="C56" s="14" t="s">
        <v>38</v>
      </c>
      <c r="D56" s="16" t="s">
        <v>110</v>
      </c>
      <c r="E56" s="69">
        <v>0.0</v>
      </c>
      <c r="F56" s="14">
        <v>136.0</v>
      </c>
      <c r="G56" s="70"/>
      <c r="H56" s="14"/>
    </row>
    <row r="57">
      <c r="A57" s="14">
        <v>57.0</v>
      </c>
      <c r="B57" s="107" t="s">
        <v>196</v>
      </c>
      <c r="C57" s="14" t="s">
        <v>59</v>
      </c>
      <c r="D57" s="16" t="s">
        <v>109</v>
      </c>
      <c r="E57" s="69">
        <v>0.0</v>
      </c>
      <c r="F57" s="14">
        <v>134.0</v>
      </c>
      <c r="G57" s="70"/>
      <c r="H57" s="14"/>
    </row>
    <row r="58">
      <c r="A58" s="14">
        <v>59.0</v>
      </c>
      <c r="B58" s="33" t="s">
        <v>197</v>
      </c>
      <c r="C58" s="14" t="s">
        <v>38</v>
      </c>
      <c r="D58" s="16" t="s">
        <v>110</v>
      </c>
      <c r="E58" s="69">
        <v>429800.0</v>
      </c>
      <c r="F58" s="14">
        <v>185.0</v>
      </c>
      <c r="G58" s="70"/>
      <c r="H58" s="14"/>
    </row>
    <row r="59">
      <c r="A59" s="14">
        <v>60.0</v>
      </c>
      <c r="B59" s="20"/>
      <c r="C59" s="14" t="s">
        <v>59</v>
      </c>
      <c r="D59" s="16" t="s">
        <v>109</v>
      </c>
      <c r="E59" s="69">
        <v>0.0</v>
      </c>
      <c r="F59" s="14">
        <v>79.0</v>
      </c>
      <c r="G59" s="70"/>
      <c r="H59" s="14"/>
    </row>
    <row r="60">
      <c r="A60" s="14">
        <v>61.0</v>
      </c>
      <c r="B60" s="33" t="s">
        <v>198</v>
      </c>
      <c r="C60" s="14" t="s">
        <v>38</v>
      </c>
      <c r="D60" s="16" t="s">
        <v>110</v>
      </c>
      <c r="E60" s="69">
        <v>99800.0</v>
      </c>
      <c r="F60" s="14">
        <v>136.0</v>
      </c>
      <c r="G60" s="70"/>
      <c r="H60" s="14"/>
    </row>
    <row r="61">
      <c r="A61" s="14">
        <v>62.0</v>
      </c>
      <c r="B61" s="20"/>
      <c r="C61" s="14" t="s">
        <v>59</v>
      </c>
      <c r="D61" s="16" t="s">
        <v>109</v>
      </c>
      <c r="E61" s="69">
        <v>0.0</v>
      </c>
      <c r="F61" s="14">
        <v>90.0</v>
      </c>
      <c r="G61" s="70"/>
      <c r="H61" s="14"/>
    </row>
    <row r="62">
      <c r="A62" s="14">
        <v>63.0</v>
      </c>
      <c r="B62" s="33" t="s">
        <v>199</v>
      </c>
      <c r="C62" s="14" t="s">
        <v>38</v>
      </c>
      <c r="D62" s="16" t="s">
        <v>156</v>
      </c>
      <c r="E62" s="69">
        <v>2162254.0</v>
      </c>
      <c r="F62" s="14">
        <v>135.0</v>
      </c>
      <c r="G62" s="70"/>
      <c r="H62" s="14"/>
    </row>
    <row r="63">
      <c r="A63" s="14"/>
      <c r="B63" s="21"/>
      <c r="C63" s="14" t="s">
        <v>40</v>
      </c>
      <c r="D63" s="16" t="s">
        <v>200</v>
      </c>
      <c r="E63" s="69" t="s">
        <v>201</v>
      </c>
      <c r="F63" s="14">
        <v>128.0</v>
      </c>
      <c r="G63" s="70"/>
      <c r="H63" s="14"/>
    </row>
    <row r="64">
      <c r="A64" s="14">
        <v>64.0</v>
      </c>
      <c r="B64" s="20"/>
      <c r="C64" s="14" t="s">
        <v>59</v>
      </c>
      <c r="D64" s="16" t="s">
        <v>109</v>
      </c>
      <c r="E64" s="69" t="s">
        <v>202</v>
      </c>
      <c r="F64" s="14">
        <v>183.0</v>
      </c>
      <c r="G64" s="70"/>
      <c r="H64" s="14"/>
    </row>
    <row r="65">
      <c r="A65" s="14">
        <v>65.0</v>
      </c>
      <c r="B65" s="14" t="s">
        <v>203</v>
      </c>
      <c r="C65" s="14" t="s">
        <v>38</v>
      </c>
      <c r="D65" s="16" t="s">
        <v>110</v>
      </c>
      <c r="E65" s="69" t="s">
        <v>204</v>
      </c>
      <c r="F65" s="14">
        <v>130.0</v>
      </c>
      <c r="G65" s="70"/>
      <c r="H65" s="14"/>
    </row>
    <row r="66">
      <c r="E66" s="109" t="str">
        <f>sum</f>
        <v>#NAME?</v>
      </c>
    </row>
    <row r="69">
      <c r="B69" s="110" t="s">
        <v>205</v>
      </c>
      <c r="C69" s="110" t="s">
        <v>31</v>
      </c>
    </row>
    <row r="70">
      <c r="B70" s="110" t="s">
        <v>110</v>
      </c>
      <c r="C70" s="111">
        <v>29.0</v>
      </c>
    </row>
    <row r="71">
      <c r="B71" s="110" t="s">
        <v>109</v>
      </c>
      <c r="C71" s="111">
        <v>27.0</v>
      </c>
    </row>
    <row r="72">
      <c r="B72" s="110" t="s">
        <v>60</v>
      </c>
      <c r="C72" s="111">
        <v>1.0</v>
      </c>
    </row>
    <row r="73">
      <c r="B73" s="110" t="s">
        <v>190</v>
      </c>
      <c r="C73" s="111">
        <v>1.0</v>
      </c>
    </row>
    <row r="74">
      <c r="B74" s="112" t="s">
        <v>167</v>
      </c>
      <c r="C74" s="113">
        <v>1.0</v>
      </c>
    </row>
    <row r="75">
      <c r="B75" s="114" t="s">
        <v>206</v>
      </c>
      <c r="C75" s="115">
        <v>1.0</v>
      </c>
    </row>
    <row r="76">
      <c r="C76" s="109">
        <f>SUM(C70:C75)</f>
        <v>60</v>
      </c>
    </row>
  </sheetData>
  <mergeCells count="4">
    <mergeCell ref="A2:C3"/>
    <mergeCell ref="B58:B59"/>
    <mergeCell ref="B60:B61"/>
    <mergeCell ref="B62:B6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2">
      <c r="A2" s="3" t="s">
        <v>0</v>
      </c>
      <c r="B2" s="4"/>
      <c r="C2" s="5"/>
    </row>
    <row r="3">
      <c r="A3" s="6"/>
      <c r="B3" s="7"/>
      <c r="C3" s="8"/>
    </row>
    <row r="5">
      <c r="A5" s="9" t="s">
        <v>1</v>
      </c>
      <c r="B5" s="9" t="s">
        <v>2</v>
      </c>
      <c r="C5" s="9" t="s">
        <v>3</v>
      </c>
      <c r="D5" s="9" t="s">
        <v>5</v>
      </c>
      <c r="E5" s="10" t="s">
        <v>6</v>
      </c>
      <c r="F5" s="9" t="s">
        <v>7</v>
      </c>
      <c r="G5" s="9" t="s">
        <v>8</v>
      </c>
      <c r="H5" s="75" t="s">
        <v>58</v>
      </c>
    </row>
    <row r="6">
      <c r="A6" s="14">
        <v>1.0</v>
      </c>
      <c r="B6" s="33" t="s">
        <v>207</v>
      </c>
      <c r="C6" s="14" t="s">
        <v>40</v>
      </c>
      <c r="D6" s="16" t="s">
        <v>60</v>
      </c>
      <c r="E6" s="24" t="s">
        <v>208</v>
      </c>
      <c r="F6" s="25">
        <v>194.0</v>
      </c>
      <c r="G6" s="67"/>
      <c r="H6" s="14"/>
    </row>
    <row r="7">
      <c r="A7" s="14">
        <v>2.0</v>
      </c>
      <c r="B7" s="107"/>
      <c r="C7" s="78" t="s">
        <v>59</v>
      </c>
      <c r="D7" s="16" t="s">
        <v>109</v>
      </c>
      <c r="E7" s="24">
        <v>0.0</v>
      </c>
      <c r="F7" s="25">
        <v>117.0</v>
      </c>
      <c r="G7" s="67"/>
      <c r="H7" s="14"/>
    </row>
    <row r="8">
      <c r="A8" s="14">
        <v>3.0</v>
      </c>
      <c r="B8" s="92" t="s">
        <v>209</v>
      </c>
      <c r="C8" s="78" t="s">
        <v>38</v>
      </c>
      <c r="D8" s="16" t="s">
        <v>110</v>
      </c>
      <c r="E8" s="17" t="s">
        <v>210</v>
      </c>
      <c r="F8" s="18">
        <v>106.0</v>
      </c>
      <c r="G8" s="67"/>
      <c r="H8" s="14"/>
    </row>
    <row r="9">
      <c r="A9" s="14">
        <v>4.0</v>
      </c>
      <c r="B9" s="92"/>
      <c r="C9" s="78" t="s">
        <v>40</v>
      </c>
      <c r="D9" s="16" t="s">
        <v>60</v>
      </c>
      <c r="E9" s="17" t="s">
        <v>211</v>
      </c>
      <c r="F9" s="18">
        <v>246.0</v>
      </c>
      <c r="G9" s="67"/>
      <c r="H9" s="14"/>
    </row>
    <row r="10">
      <c r="A10" s="14">
        <v>5.0</v>
      </c>
      <c r="B10" s="107"/>
      <c r="C10" s="14" t="s">
        <v>59</v>
      </c>
      <c r="D10" s="16" t="s">
        <v>109</v>
      </c>
      <c r="E10" s="17">
        <v>0.0</v>
      </c>
      <c r="F10" s="18">
        <v>141.0</v>
      </c>
      <c r="G10" s="67"/>
      <c r="H10" s="14"/>
    </row>
    <row r="11">
      <c r="A11" s="14">
        <v>6.0</v>
      </c>
      <c r="B11" s="33" t="s">
        <v>212</v>
      </c>
      <c r="C11" s="14" t="s">
        <v>38</v>
      </c>
      <c r="D11" s="16" t="s">
        <v>110</v>
      </c>
      <c r="E11" s="82">
        <v>0.0</v>
      </c>
      <c r="F11" s="18">
        <v>135.0</v>
      </c>
      <c r="G11" s="67"/>
      <c r="H11" s="14"/>
    </row>
    <row r="12">
      <c r="A12" s="14">
        <v>7.0</v>
      </c>
      <c r="B12" s="92"/>
      <c r="C12" s="14" t="s">
        <v>40</v>
      </c>
      <c r="D12" s="16" t="s">
        <v>167</v>
      </c>
      <c r="E12" s="17">
        <v>0.0</v>
      </c>
      <c r="F12" s="18">
        <v>204.0</v>
      </c>
      <c r="G12" s="67"/>
      <c r="H12" s="14"/>
    </row>
    <row r="13">
      <c r="A13" s="14">
        <v>8.0</v>
      </c>
      <c r="B13" s="107"/>
      <c r="C13" s="14" t="s">
        <v>59</v>
      </c>
      <c r="D13" s="16" t="s">
        <v>109</v>
      </c>
      <c r="E13" s="17">
        <v>0.0</v>
      </c>
      <c r="F13" s="18">
        <v>162.0</v>
      </c>
      <c r="G13" s="67"/>
      <c r="H13" s="14"/>
    </row>
    <row r="14">
      <c r="A14" s="14">
        <v>9.0</v>
      </c>
      <c r="B14" s="92" t="s">
        <v>213</v>
      </c>
      <c r="C14" s="14" t="s">
        <v>38</v>
      </c>
      <c r="D14" s="16" t="s">
        <v>156</v>
      </c>
      <c r="E14" s="17" t="s">
        <v>214</v>
      </c>
      <c r="F14" s="18">
        <v>147.0</v>
      </c>
      <c r="G14" s="67"/>
      <c r="H14" s="14"/>
    </row>
    <row r="15">
      <c r="A15" s="14">
        <v>10.0</v>
      </c>
      <c r="B15" s="92"/>
      <c r="C15" s="14" t="s">
        <v>151</v>
      </c>
      <c r="D15" s="16" t="s">
        <v>109</v>
      </c>
      <c r="E15" s="17" t="s">
        <v>215</v>
      </c>
      <c r="F15" s="18">
        <v>193.0</v>
      </c>
      <c r="G15" s="67"/>
      <c r="H15" s="14"/>
    </row>
    <row r="16">
      <c r="A16" s="14">
        <v>11.0</v>
      </c>
      <c r="B16" s="33" t="s">
        <v>216</v>
      </c>
      <c r="C16" s="14" t="s">
        <v>38</v>
      </c>
      <c r="D16" s="16" t="s">
        <v>110</v>
      </c>
      <c r="E16" s="24" t="s">
        <v>217</v>
      </c>
      <c r="F16" s="18">
        <v>220.0</v>
      </c>
      <c r="G16" s="23"/>
      <c r="H16" s="14"/>
    </row>
    <row r="17">
      <c r="A17" s="14">
        <v>12.0</v>
      </c>
      <c r="B17" s="107"/>
      <c r="C17" s="78" t="s">
        <v>59</v>
      </c>
      <c r="D17" s="16" t="s">
        <v>109</v>
      </c>
      <c r="E17" s="24" t="s">
        <v>218</v>
      </c>
      <c r="F17" s="18">
        <v>234.0</v>
      </c>
      <c r="G17" s="23"/>
      <c r="H17" s="14"/>
    </row>
    <row r="18" ht="13.5" customHeight="1">
      <c r="A18" s="14">
        <v>13.0</v>
      </c>
      <c r="B18" s="33" t="s">
        <v>219</v>
      </c>
      <c r="C18" s="78" t="s">
        <v>38</v>
      </c>
      <c r="D18" s="16" t="s">
        <v>110</v>
      </c>
      <c r="E18" s="24" t="s">
        <v>220</v>
      </c>
      <c r="F18" s="18">
        <v>170.0</v>
      </c>
      <c r="G18" s="67"/>
      <c r="H18" s="14"/>
    </row>
    <row r="19">
      <c r="A19" s="14">
        <v>14.0</v>
      </c>
      <c r="B19" s="107"/>
      <c r="C19" s="78" t="s">
        <v>59</v>
      </c>
      <c r="D19" s="16" t="s">
        <v>109</v>
      </c>
      <c r="E19" s="24" t="s">
        <v>221</v>
      </c>
      <c r="F19" s="18">
        <v>206.0</v>
      </c>
      <c r="G19" s="67"/>
      <c r="H19" s="14"/>
    </row>
    <row r="20">
      <c r="A20" s="14">
        <v>15.0</v>
      </c>
      <c r="B20" s="92" t="s">
        <v>222</v>
      </c>
      <c r="C20" s="78" t="s">
        <v>38</v>
      </c>
      <c r="D20" s="16" t="s">
        <v>110</v>
      </c>
      <c r="E20" s="24">
        <v>0.0</v>
      </c>
      <c r="F20" s="25">
        <v>82.0</v>
      </c>
      <c r="G20" s="61"/>
      <c r="H20" s="14"/>
    </row>
    <row r="21">
      <c r="A21" s="14">
        <v>16.0</v>
      </c>
      <c r="B21" s="92"/>
      <c r="C21" s="78" t="s">
        <v>61</v>
      </c>
      <c r="D21" s="16" t="s">
        <v>109</v>
      </c>
      <c r="E21" s="17" t="s">
        <v>223</v>
      </c>
      <c r="F21" s="25">
        <v>198.0</v>
      </c>
      <c r="G21" s="61"/>
      <c r="H21" s="14"/>
    </row>
    <row r="22">
      <c r="A22" s="14">
        <v>17.0</v>
      </c>
      <c r="B22" s="33" t="s">
        <v>224</v>
      </c>
      <c r="C22" s="14" t="s">
        <v>38</v>
      </c>
      <c r="D22" s="16" t="s">
        <v>110</v>
      </c>
      <c r="E22" s="24" t="s">
        <v>225</v>
      </c>
      <c r="F22" s="25">
        <v>219.0</v>
      </c>
      <c r="G22" s="61"/>
      <c r="H22" s="14"/>
    </row>
    <row r="23">
      <c r="A23" s="14">
        <v>18.0</v>
      </c>
      <c r="B23" s="107"/>
      <c r="C23" s="78" t="s">
        <v>59</v>
      </c>
      <c r="D23" s="16" t="s">
        <v>109</v>
      </c>
      <c r="E23" s="24" t="s">
        <v>226</v>
      </c>
      <c r="F23" s="25">
        <v>178.0</v>
      </c>
      <c r="G23" s="61"/>
      <c r="H23" s="14"/>
    </row>
    <row r="24">
      <c r="A24" s="14">
        <v>19.0</v>
      </c>
      <c r="B24" s="116" t="s">
        <v>227</v>
      </c>
      <c r="C24" s="14" t="s">
        <v>38</v>
      </c>
      <c r="D24" s="16" t="s">
        <v>110</v>
      </c>
      <c r="E24" s="24" t="s">
        <v>228</v>
      </c>
      <c r="F24" s="25">
        <v>96.0</v>
      </c>
      <c r="G24" s="61"/>
      <c r="H24" s="14"/>
    </row>
    <row r="25">
      <c r="A25" s="14">
        <v>20.0</v>
      </c>
      <c r="B25" s="92"/>
      <c r="C25" s="78" t="s">
        <v>59</v>
      </c>
      <c r="D25" s="16" t="s">
        <v>109</v>
      </c>
      <c r="E25" s="24" t="s">
        <v>229</v>
      </c>
      <c r="F25" s="25">
        <v>218.0</v>
      </c>
      <c r="G25" s="61"/>
      <c r="H25" s="14"/>
    </row>
    <row r="26">
      <c r="A26" s="14">
        <v>21.0</v>
      </c>
      <c r="B26" s="117" t="s">
        <v>230</v>
      </c>
      <c r="C26" s="14" t="s">
        <v>38</v>
      </c>
      <c r="D26" s="16" t="s">
        <v>110</v>
      </c>
      <c r="E26" s="24" t="s">
        <v>231</v>
      </c>
      <c r="F26" s="25">
        <v>224.0</v>
      </c>
      <c r="G26" s="61"/>
      <c r="H26" s="70"/>
    </row>
    <row r="27">
      <c r="A27" s="14">
        <v>22.0</v>
      </c>
      <c r="B27" s="92"/>
      <c r="C27" s="78" t="s">
        <v>59</v>
      </c>
      <c r="D27" s="16" t="s">
        <v>109</v>
      </c>
      <c r="E27" s="24" t="s">
        <v>232</v>
      </c>
      <c r="F27" s="25">
        <v>174.0</v>
      </c>
      <c r="G27" s="61"/>
      <c r="H27" s="70"/>
    </row>
    <row r="28">
      <c r="A28" s="14">
        <v>23.0</v>
      </c>
      <c r="B28" s="33" t="s">
        <v>233</v>
      </c>
      <c r="C28" s="78" t="s">
        <v>38</v>
      </c>
      <c r="D28" s="16" t="s">
        <v>110</v>
      </c>
      <c r="E28" s="24" t="s">
        <v>229</v>
      </c>
      <c r="F28" s="25">
        <v>136.0</v>
      </c>
      <c r="G28" s="61"/>
      <c r="H28" s="70"/>
    </row>
    <row r="29">
      <c r="A29" s="14">
        <v>24.0</v>
      </c>
      <c r="B29" s="92"/>
      <c r="C29" s="78" t="s">
        <v>59</v>
      </c>
      <c r="D29" s="16" t="s">
        <v>156</v>
      </c>
      <c r="E29" s="24">
        <v>0.0</v>
      </c>
      <c r="F29" s="25">
        <v>169.0</v>
      </c>
      <c r="G29" s="61"/>
      <c r="H29" s="70"/>
    </row>
    <row r="30">
      <c r="A30" s="14">
        <v>25.0</v>
      </c>
      <c r="B30" s="118" t="s">
        <v>234</v>
      </c>
      <c r="C30" s="14" t="s">
        <v>38</v>
      </c>
      <c r="D30" s="16" t="s">
        <v>110</v>
      </c>
      <c r="E30" s="24" t="s">
        <v>235</v>
      </c>
      <c r="F30" s="25">
        <v>198.0</v>
      </c>
      <c r="G30" s="61"/>
      <c r="H30" s="14"/>
    </row>
    <row r="31">
      <c r="A31" s="14">
        <v>26.0</v>
      </c>
      <c r="B31" s="107"/>
      <c r="C31" s="14" t="s">
        <v>59</v>
      </c>
      <c r="D31" s="16" t="s">
        <v>109</v>
      </c>
      <c r="E31" s="24" t="s">
        <v>236</v>
      </c>
      <c r="F31" s="25">
        <v>191.0</v>
      </c>
      <c r="G31" s="28"/>
      <c r="H31" s="14"/>
    </row>
    <row r="32">
      <c r="A32" s="14">
        <v>27.0</v>
      </c>
      <c r="B32" s="116" t="s">
        <v>237</v>
      </c>
      <c r="C32" s="14" t="s">
        <v>38</v>
      </c>
      <c r="D32" s="16" t="s">
        <v>110</v>
      </c>
      <c r="E32" s="24" t="s">
        <v>238</v>
      </c>
      <c r="F32" s="25">
        <v>90.0</v>
      </c>
      <c r="G32" s="61"/>
      <c r="H32" s="14"/>
    </row>
    <row r="33">
      <c r="A33" s="14">
        <v>28.0</v>
      </c>
      <c r="B33" s="107"/>
      <c r="C33" s="78" t="s">
        <v>59</v>
      </c>
      <c r="D33" s="16" t="s">
        <v>109</v>
      </c>
      <c r="E33" s="24" t="s">
        <v>239</v>
      </c>
      <c r="F33" s="25">
        <v>201.0</v>
      </c>
      <c r="G33" s="61"/>
      <c r="H33" s="14"/>
    </row>
    <row r="34">
      <c r="A34" s="14">
        <v>29.0</v>
      </c>
      <c r="B34" s="116" t="s">
        <v>240</v>
      </c>
      <c r="C34" s="14" t="s">
        <v>175</v>
      </c>
      <c r="D34" s="16" t="s">
        <v>110</v>
      </c>
      <c r="E34" s="24">
        <v>0.0</v>
      </c>
      <c r="F34" s="25">
        <v>146.0</v>
      </c>
      <c r="G34" s="61"/>
      <c r="H34" s="14"/>
    </row>
    <row r="35">
      <c r="A35" s="14">
        <v>30.0</v>
      </c>
      <c r="B35" s="107"/>
      <c r="C35" s="14" t="s">
        <v>59</v>
      </c>
      <c r="D35" s="16" t="s">
        <v>109</v>
      </c>
      <c r="E35" s="24">
        <v>0.0</v>
      </c>
      <c r="F35" s="25">
        <v>102.0</v>
      </c>
      <c r="G35" s="61"/>
      <c r="H35" s="14"/>
    </row>
    <row r="36">
      <c r="A36" s="14">
        <v>31.0</v>
      </c>
      <c r="B36" s="116" t="s">
        <v>241</v>
      </c>
      <c r="C36" s="14" t="s">
        <v>38</v>
      </c>
      <c r="D36" s="16" t="s">
        <v>110</v>
      </c>
      <c r="E36" s="24">
        <v>0.0</v>
      </c>
      <c r="F36" s="25">
        <v>147.0</v>
      </c>
      <c r="G36" s="61"/>
      <c r="H36" s="14"/>
    </row>
    <row r="37">
      <c r="A37" s="14">
        <v>32.0</v>
      </c>
      <c r="B37" s="107"/>
      <c r="C37" s="78" t="s">
        <v>151</v>
      </c>
      <c r="D37" s="16" t="s">
        <v>109</v>
      </c>
      <c r="E37" s="24" t="s">
        <v>242</v>
      </c>
      <c r="F37" s="25">
        <v>186.0</v>
      </c>
      <c r="G37" s="61"/>
      <c r="H37" s="14"/>
    </row>
    <row r="38">
      <c r="A38" s="14">
        <v>33.0</v>
      </c>
      <c r="B38" s="116" t="s">
        <v>243</v>
      </c>
      <c r="C38" s="14" t="s">
        <v>38</v>
      </c>
      <c r="D38" s="16" t="s">
        <v>110</v>
      </c>
      <c r="E38" s="24" t="s">
        <v>244</v>
      </c>
      <c r="F38" s="25">
        <v>288.0</v>
      </c>
      <c r="G38" s="61"/>
      <c r="H38" s="14"/>
    </row>
    <row r="39">
      <c r="A39" s="14">
        <v>34.0</v>
      </c>
      <c r="B39" s="107"/>
      <c r="C39" s="78" t="s">
        <v>178</v>
      </c>
      <c r="D39" s="16" t="s">
        <v>109</v>
      </c>
      <c r="E39" s="24" t="s">
        <v>245</v>
      </c>
      <c r="F39" s="25">
        <v>464.0</v>
      </c>
      <c r="G39" s="61"/>
      <c r="H39" s="14"/>
    </row>
    <row r="40">
      <c r="A40" s="14">
        <v>35.0</v>
      </c>
      <c r="B40" s="116" t="s">
        <v>246</v>
      </c>
      <c r="C40" s="14" t="s">
        <v>38</v>
      </c>
      <c r="D40" s="16" t="s">
        <v>109</v>
      </c>
      <c r="E40" s="24" t="s">
        <v>247</v>
      </c>
      <c r="F40" s="25">
        <v>365.0</v>
      </c>
      <c r="G40" s="61"/>
      <c r="H40" s="14"/>
    </row>
    <row r="41">
      <c r="A41" s="14">
        <v>36.0</v>
      </c>
      <c r="B41" s="92"/>
      <c r="C41" s="78" t="s">
        <v>40</v>
      </c>
      <c r="D41" s="16" t="s">
        <v>167</v>
      </c>
      <c r="E41" s="24" t="s">
        <v>248</v>
      </c>
      <c r="F41" s="25">
        <v>252.0</v>
      </c>
      <c r="G41" s="61"/>
      <c r="H41" s="14"/>
    </row>
    <row r="42">
      <c r="A42" s="14">
        <v>37.0</v>
      </c>
      <c r="B42" s="92"/>
      <c r="C42" s="78" t="s">
        <v>59</v>
      </c>
      <c r="D42" s="16" t="s">
        <v>109</v>
      </c>
      <c r="E42" s="24" t="s">
        <v>249</v>
      </c>
      <c r="F42" s="25">
        <v>371.0</v>
      </c>
      <c r="G42" s="61"/>
      <c r="H42" s="14"/>
    </row>
    <row r="43">
      <c r="A43" s="14">
        <v>38.0</v>
      </c>
      <c r="B43" s="33"/>
      <c r="C43" s="78" t="s">
        <v>38</v>
      </c>
      <c r="D43" s="16" t="s">
        <v>110</v>
      </c>
      <c r="E43" s="24" t="s">
        <v>250</v>
      </c>
      <c r="F43" s="25">
        <v>162.0</v>
      </c>
      <c r="G43" s="61"/>
      <c r="H43" s="14"/>
    </row>
    <row r="44">
      <c r="A44" s="14">
        <v>39.0</v>
      </c>
      <c r="B44" s="116" t="s">
        <v>251</v>
      </c>
      <c r="C44" s="14" t="s">
        <v>252</v>
      </c>
      <c r="D44" s="119" t="s">
        <v>167</v>
      </c>
      <c r="E44" s="24" t="s">
        <v>253</v>
      </c>
      <c r="F44" s="25">
        <v>176.0</v>
      </c>
      <c r="G44" s="61"/>
      <c r="H44" s="14"/>
    </row>
    <row r="45">
      <c r="A45" s="14">
        <v>40.0</v>
      </c>
      <c r="B45" s="116"/>
      <c r="C45" s="14" t="s">
        <v>59</v>
      </c>
      <c r="D45" s="16" t="s">
        <v>110</v>
      </c>
      <c r="E45" s="24">
        <v>0.0</v>
      </c>
      <c r="F45" s="25">
        <v>151.0</v>
      </c>
      <c r="G45" s="61"/>
      <c r="H45" s="14"/>
    </row>
    <row r="46">
      <c r="A46" s="14">
        <v>41.0</v>
      </c>
      <c r="B46" s="33"/>
      <c r="C46" s="78" t="s">
        <v>38</v>
      </c>
      <c r="D46" s="16" t="s">
        <v>110</v>
      </c>
      <c r="E46" s="24">
        <v>0.0</v>
      </c>
      <c r="F46" s="25">
        <v>201.0</v>
      </c>
      <c r="G46" s="61"/>
      <c r="H46" s="14"/>
    </row>
    <row r="47">
      <c r="A47" s="14">
        <v>42.0</v>
      </c>
      <c r="B47" s="92" t="s">
        <v>254</v>
      </c>
      <c r="C47" s="78" t="s">
        <v>40</v>
      </c>
      <c r="D47" s="16" t="s">
        <v>255</v>
      </c>
      <c r="E47" s="24" t="s">
        <v>256</v>
      </c>
      <c r="F47" s="25">
        <v>142.0</v>
      </c>
      <c r="G47" s="61"/>
      <c r="H47" s="14"/>
    </row>
    <row r="48">
      <c r="A48" s="14">
        <v>43.0</v>
      </c>
      <c r="B48" s="107"/>
      <c r="C48" s="78" t="s">
        <v>59</v>
      </c>
      <c r="D48" s="16" t="s">
        <v>109</v>
      </c>
      <c r="E48" s="24" t="s">
        <v>238</v>
      </c>
      <c r="F48" s="25">
        <v>148.0</v>
      </c>
      <c r="G48" s="61"/>
      <c r="H48" s="14"/>
    </row>
    <row r="49">
      <c r="A49" s="14">
        <v>44.0</v>
      </c>
      <c r="B49" s="33"/>
      <c r="C49" s="78" t="s">
        <v>38</v>
      </c>
      <c r="D49" s="16" t="s">
        <v>110</v>
      </c>
      <c r="E49" s="24" t="s">
        <v>257</v>
      </c>
      <c r="F49" s="25">
        <v>161.0</v>
      </c>
      <c r="G49" s="61"/>
      <c r="H49" s="70"/>
    </row>
    <row r="50">
      <c r="A50" s="14">
        <v>45.0</v>
      </c>
      <c r="B50" s="92" t="s">
        <v>258</v>
      </c>
      <c r="C50" s="78" t="s">
        <v>40</v>
      </c>
      <c r="D50" s="16" t="s">
        <v>255</v>
      </c>
      <c r="E50" s="24">
        <v>0.0</v>
      </c>
      <c r="F50" s="25">
        <v>239.0</v>
      </c>
      <c r="G50" s="61"/>
      <c r="H50" s="70"/>
    </row>
    <row r="51">
      <c r="A51" s="14">
        <v>46.0</v>
      </c>
      <c r="B51" s="107"/>
      <c r="C51" s="78" t="s">
        <v>59</v>
      </c>
      <c r="D51" s="16" t="s">
        <v>109</v>
      </c>
      <c r="E51" s="24">
        <v>0.0</v>
      </c>
      <c r="F51" s="25">
        <v>329.0</v>
      </c>
      <c r="G51" s="61"/>
      <c r="H51" s="14"/>
    </row>
    <row r="52">
      <c r="A52" s="14">
        <v>47.0</v>
      </c>
      <c r="B52" s="33" t="s">
        <v>259</v>
      </c>
      <c r="C52" s="78" t="s">
        <v>38</v>
      </c>
      <c r="D52" s="16" t="s">
        <v>156</v>
      </c>
      <c r="E52" s="24" t="s">
        <v>260</v>
      </c>
      <c r="F52" s="25">
        <v>157.0</v>
      </c>
      <c r="G52" s="61"/>
      <c r="H52" s="14"/>
    </row>
    <row r="53">
      <c r="A53" s="14">
        <v>48.0</v>
      </c>
      <c r="B53" s="107"/>
      <c r="C53" s="78" t="s">
        <v>59</v>
      </c>
      <c r="D53" s="16" t="s">
        <v>109</v>
      </c>
      <c r="E53" s="24">
        <v>0.0</v>
      </c>
      <c r="F53" s="25">
        <v>272.0</v>
      </c>
      <c r="G53" s="61"/>
      <c r="H53" s="14"/>
    </row>
    <row r="54">
      <c r="A54" s="14">
        <v>49.0</v>
      </c>
      <c r="B54" s="33" t="s">
        <v>261</v>
      </c>
      <c r="C54" s="14" t="s">
        <v>262</v>
      </c>
      <c r="D54" s="16" t="s">
        <v>156</v>
      </c>
      <c r="E54" s="24" t="s">
        <v>263</v>
      </c>
      <c r="F54" s="25">
        <v>96.0</v>
      </c>
      <c r="G54" s="61"/>
      <c r="H54" s="14"/>
    </row>
    <row r="55">
      <c r="A55" s="14">
        <v>50.0</v>
      </c>
      <c r="B55" s="107"/>
      <c r="C55" s="14" t="s">
        <v>59</v>
      </c>
      <c r="D55" s="16" t="s">
        <v>109</v>
      </c>
      <c r="E55" s="24">
        <v>0.0</v>
      </c>
      <c r="F55" s="25">
        <v>132.0</v>
      </c>
      <c r="G55" s="61"/>
      <c r="H55" s="14"/>
    </row>
    <row r="56">
      <c r="A56" s="14">
        <v>51.0</v>
      </c>
      <c r="B56" s="33" t="s">
        <v>264</v>
      </c>
      <c r="C56" s="78" t="s">
        <v>38</v>
      </c>
      <c r="D56" s="16" t="s">
        <v>156</v>
      </c>
      <c r="E56" s="24" t="s">
        <v>265</v>
      </c>
      <c r="F56" s="25">
        <v>73.0</v>
      </c>
      <c r="G56" s="61"/>
      <c r="H56" s="14"/>
    </row>
    <row r="57">
      <c r="A57" s="14">
        <v>52.0</v>
      </c>
      <c r="B57" s="107"/>
      <c r="C57" s="78" t="s">
        <v>59</v>
      </c>
      <c r="D57" s="16" t="s">
        <v>109</v>
      </c>
      <c r="E57" s="24">
        <v>0.0</v>
      </c>
      <c r="F57" s="25">
        <v>125.0</v>
      </c>
      <c r="G57" s="61"/>
      <c r="H57" s="14"/>
    </row>
    <row r="58">
      <c r="A58" s="14">
        <v>53.0</v>
      </c>
      <c r="B58" s="120">
        <v>46113.0</v>
      </c>
      <c r="C58" s="14" t="s">
        <v>38</v>
      </c>
      <c r="D58" s="16" t="s">
        <v>110</v>
      </c>
      <c r="E58" s="24">
        <v>0.0</v>
      </c>
      <c r="F58" s="25">
        <v>76.0</v>
      </c>
      <c r="G58" s="61"/>
      <c r="H58" s="14"/>
    </row>
    <row r="59">
      <c r="A59" s="14">
        <v>54.0</v>
      </c>
      <c r="B59" s="92"/>
      <c r="C59" s="78" t="s">
        <v>59</v>
      </c>
      <c r="D59" s="16" t="s">
        <v>109</v>
      </c>
      <c r="E59" s="24" t="s">
        <v>266</v>
      </c>
      <c r="F59" s="25">
        <v>197.0</v>
      </c>
      <c r="G59" s="61"/>
      <c r="H59" s="14"/>
    </row>
    <row r="60">
      <c r="A60" s="14">
        <v>55.0</v>
      </c>
      <c r="B60" s="121">
        <v>46114.0</v>
      </c>
      <c r="C60" s="14" t="s">
        <v>262</v>
      </c>
      <c r="D60" s="16" t="s">
        <v>110</v>
      </c>
      <c r="E60" s="69" t="s">
        <v>267</v>
      </c>
      <c r="F60" s="14">
        <v>97.0</v>
      </c>
      <c r="G60" s="70"/>
      <c r="H60" s="14"/>
    </row>
    <row r="61">
      <c r="A61" s="14">
        <v>56.0</v>
      </c>
      <c r="B61" s="92"/>
      <c r="C61" s="14" t="s">
        <v>59</v>
      </c>
      <c r="D61" s="16" t="s">
        <v>109</v>
      </c>
      <c r="E61" s="69" t="s">
        <v>268</v>
      </c>
      <c r="F61" s="14">
        <v>177.0</v>
      </c>
      <c r="G61" s="70"/>
      <c r="H61" s="14"/>
    </row>
    <row r="62">
      <c r="A62" s="14">
        <v>57.0</v>
      </c>
      <c r="B62" s="121">
        <v>46115.0</v>
      </c>
      <c r="C62" s="78" t="s">
        <v>38</v>
      </c>
      <c r="D62" s="16" t="s">
        <v>110</v>
      </c>
      <c r="E62" s="24" t="s">
        <v>269</v>
      </c>
      <c r="F62" s="25">
        <v>163.0</v>
      </c>
      <c r="G62" s="61"/>
      <c r="H62" s="14"/>
    </row>
    <row r="63">
      <c r="A63" s="14">
        <v>58.0</v>
      </c>
      <c r="B63" s="107"/>
      <c r="C63" s="78" t="s">
        <v>59</v>
      </c>
      <c r="D63" s="16" t="s">
        <v>109</v>
      </c>
      <c r="E63" s="24" t="s">
        <v>270</v>
      </c>
      <c r="F63" s="25">
        <v>235.0</v>
      </c>
      <c r="G63" s="28"/>
      <c r="H63" s="14"/>
    </row>
    <row r="64">
      <c r="A64" s="14">
        <v>59.0</v>
      </c>
      <c r="B64" s="121">
        <v>46116.0</v>
      </c>
      <c r="C64" s="14" t="s">
        <v>38</v>
      </c>
      <c r="D64" s="16" t="s">
        <v>110</v>
      </c>
      <c r="E64" s="69" t="s">
        <v>271</v>
      </c>
      <c r="F64" s="14">
        <v>248.0</v>
      </c>
      <c r="G64" s="70"/>
      <c r="H64" s="14"/>
    </row>
    <row r="65">
      <c r="A65" s="14">
        <v>60.0</v>
      </c>
      <c r="B65" s="107"/>
      <c r="C65" s="14" t="s">
        <v>40</v>
      </c>
      <c r="D65" s="16" t="s">
        <v>109</v>
      </c>
      <c r="E65" s="69" t="s">
        <v>272</v>
      </c>
      <c r="F65" s="14">
        <v>295.0</v>
      </c>
      <c r="G65" s="70"/>
      <c r="H65" s="14"/>
    </row>
    <row r="69">
      <c r="B69" s="110" t="s">
        <v>205</v>
      </c>
      <c r="C69" s="110" t="s">
        <v>31</v>
      </c>
    </row>
    <row r="70">
      <c r="B70" s="110" t="s">
        <v>110</v>
      </c>
      <c r="C70" s="111">
        <v>27.0</v>
      </c>
    </row>
    <row r="71">
      <c r="B71" s="110" t="s">
        <v>109</v>
      </c>
      <c r="C71" s="111">
        <v>26.0</v>
      </c>
    </row>
    <row r="72">
      <c r="B72" s="110" t="s">
        <v>60</v>
      </c>
      <c r="C72" s="111">
        <v>2.0</v>
      </c>
    </row>
    <row r="73">
      <c r="B73" s="110" t="s">
        <v>273</v>
      </c>
      <c r="C73" s="111">
        <v>3.0</v>
      </c>
    </row>
    <row r="74">
      <c r="B74" s="112" t="s">
        <v>255</v>
      </c>
      <c r="C74" s="113">
        <v>2.0</v>
      </c>
    </row>
  </sheetData>
  <autoFilter ref="$A$5:$H$65"/>
  <mergeCells count="1">
    <mergeCell ref="A2:C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2">
      <c r="A2" s="3" t="s">
        <v>0</v>
      </c>
      <c r="B2" s="4"/>
      <c r="C2" s="5"/>
    </row>
    <row r="3">
      <c r="A3" s="6"/>
      <c r="B3" s="7"/>
      <c r="C3" s="8"/>
    </row>
    <row r="5">
      <c r="A5" s="9" t="s">
        <v>1</v>
      </c>
      <c r="B5" s="9" t="s">
        <v>2</v>
      </c>
      <c r="C5" s="9" t="s">
        <v>3</v>
      </c>
      <c r="D5" s="9" t="s">
        <v>5</v>
      </c>
      <c r="E5" s="10" t="s">
        <v>6</v>
      </c>
      <c r="F5" s="9" t="s">
        <v>7</v>
      </c>
      <c r="G5" s="9" t="s">
        <v>8</v>
      </c>
      <c r="H5" s="75" t="s">
        <v>58</v>
      </c>
    </row>
    <row r="6">
      <c r="A6" s="14">
        <v>1.0</v>
      </c>
      <c r="B6" s="93">
        <v>46116.0</v>
      </c>
      <c r="C6" s="14" t="s">
        <v>59</v>
      </c>
      <c r="D6" s="122" t="s">
        <v>255</v>
      </c>
      <c r="E6" s="24" t="s">
        <v>274</v>
      </c>
      <c r="F6" s="25">
        <v>233.0</v>
      </c>
      <c r="G6" s="67"/>
      <c r="H6" s="14"/>
    </row>
    <row r="7">
      <c r="A7" s="14">
        <v>2.0</v>
      </c>
      <c r="B7" s="90">
        <v>46117.0</v>
      </c>
      <c r="C7" s="78" t="s">
        <v>38</v>
      </c>
      <c r="D7" s="122" t="s">
        <v>110</v>
      </c>
      <c r="E7" s="17" t="s">
        <v>275</v>
      </c>
      <c r="F7" s="18">
        <v>150.0</v>
      </c>
      <c r="G7" s="67"/>
      <c r="H7" s="14"/>
    </row>
    <row r="8">
      <c r="A8" s="14">
        <v>3.0</v>
      </c>
      <c r="B8" s="92"/>
      <c r="C8" s="78" t="s">
        <v>40</v>
      </c>
      <c r="D8" s="122" t="s">
        <v>255</v>
      </c>
      <c r="E8" s="17">
        <v>0.0</v>
      </c>
      <c r="F8" s="18">
        <v>187.0</v>
      </c>
      <c r="G8" s="67"/>
      <c r="H8" s="14"/>
    </row>
    <row r="9">
      <c r="A9" s="14">
        <v>4.0</v>
      </c>
      <c r="B9" s="107"/>
      <c r="C9" s="14" t="s">
        <v>59</v>
      </c>
      <c r="D9" s="122" t="s">
        <v>109</v>
      </c>
      <c r="E9" s="17" t="s">
        <v>276</v>
      </c>
      <c r="F9" s="18">
        <v>272.0</v>
      </c>
      <c r="G9" s="67"/>
      <c r="H9" s="14"/>
    </row>
    <row r="10">
      <c r="A10" s="14">
        <v>5.0</v>
      </c>
      <c r="B10" s="76">
        <v>46118.0</v>
      </c>
      <c r="C10" s="14" t="s">
        <v>38</v>
      </c>
      <c r="D10" s="122" t="s">
        <v>110</v>
      </c>
      <c r="E10" s="82">
        <v>0.0</v>
      </c>
      <c r="F10" s="18">
        <v>31.0</v>
      </c>
      <c r="G10" s="67"/>
      <c r="H10" s="14"/>
    </row>
    <row r="11">
      <c r="A11" s="14">
        <v>6.0</v>
      </c>
      <c r="B11" s="107"/>
      <c r="C11" s="14" t="s">
        <v>59</v>
      </c>
      <c r="D11" s="122" t="s">
        <v>109</v>
      </c>
      <c r="E11" s="17" t="s">
        <v>277</v>
      </c>
      <c r="F11" s="18">
        <v>203.0</v>
      </c>
      <c r="G11" s="67"/>
      <c r="H11" s="14"/>
    </row>
    <row r="12">
      <c r="A12" s="14">
        <v>7.0</v>
      </c>
      <c r="B12" s="90">
        <v>46119.0</v>
      </c>
      <c r="C12" s="14" t="s">
        <v>38</v>
      </c>
      <c r="D12" s="122" t="s">
        <v>156</v>
      </c>
      <c r="E12" s="17" t="s">
        <v>278</v>
      </c>
      <c r="F12" s="18">
        <v>112.0</v>
      </c>
      <c r="G12" s="67"/>
      <c r="H12" s="14"/>
    </row>
    <row r="13">
      <c r="A13" s="14">
        <v>8.0</v>
      </c>
      <c r="B13" s="92"/>
      <c r="C13" s="14" t="s">
        <v>151</v>
      </c>
      <c r="D13" s="122" t="s">
        <v>109</v>
      </c>
      <c r="E13" s="17" t="s">
        <v>279</v>
      </c>
      <c r="F13" s="18">
        <v>1.162</v>
      </c>
      <c r="G13" s="67"/>
      <c r="H13" s="14"/>
    </row>
    <row r="14">
      <c r="A14" s="14">
        <v>9.0</v>
      </c>
      <c r="B14" s="76">
        <v>46120.0</v>
      </c>
      <c r="C14" s="14" t="s">
        <v>38</v>
      </c>
      <c r="D14" s="122" t="s">
        <v>110</v>
      </c>
      <c r="E14" s="24">
        <v>0.0</v>
      </c>
      <c r="F14" s="18">
        <v>95.0</v>
      </c>
      <c r="G14" s="23"/>
      <c r="H14" s="14"/>
    </row>
    <row r="15">
      <c r="A15" s="14">
        <v>10.0</v>
      </c>
      <c r="B15" s="107"/>
      <c r="C15" s="78" t="s">
        <v>59</v>
      </c>
      <c r="D15" s="122" t="s">
        <v>109</v>
      </c>
      <c r="E15" s="24" t="s">
        <v>280</v>
      </c>
      <c r="F15" s="18">
        <v>115.0</v>
      </c>
      <c r="G15" s="23"/>
      <c r="H15" s="14"/>
    </row>
    <row r="16" ht="13.5" customHeight="1">
      <c r="A16" s="14">
        <v>11.0</v>
      </c>
      <c r="B16" s="76">
        <v>46121.0</v>
      </c>
      <c r="C16" s="78" t="s">
        <v>38</v>
      </c>
      <c r="D16" s="122" t="s">
        <v>110</v>
      </c>
      <c r="E16" s="24">
        <v>0.0</v>
      </c>
      <c r="F16" s="18">
        <v>56.0</v>
      </c>
      <c r="G16" s="67"/>
      <c r="H16" s="14"/>
    </row>
    <row r="17">
      <c r="A17" s="14">
        <v>12.0</v>
      </c>
      <c r="B17" s="107"/>
      <c r="C17" s="78" t="s">
        <v>59</v>
      </c>
      <c r="D17" s="122" t="s">
        <v>109</v>
      </c>
      <c r="E17" s="24" t="s">
        <v>281</v>
      </c>
      <c r="F17" s="18">
        <v>1.315</v>
      </c>
      <c r="G17" s="67"/>
      <c r="H17" s="14"/>
    </row>
    <row r="18">
      <c r="A18" s="14">
        <v>13.0</v>
      </c>
      <c r="B18" s="90">
        <v>46122.0</v>
      </c>
      <c r="C18" s="78" t="s">
        <v>38</v>
      </c>
      <c r="D18" s="122" t="s">
        <v>110</v>
      </c>
      <c r="E18" s="24" t="s">
        <v>282</v>
      </c>
      <c r="F18" s="25">
        <v>204.0</v>
      </c>
      <c r="G18" s="61"/>
      <c r="H18" s="14"/>
    </row>
    <row r="19">
      <c r="A19" s="14">
        <v>14.0</v>
      </c>
      <c r="B19" s="92"/>
      <c r="C19" s="78" t="s">
        <v>61</v>
      </c>
      <c r="D19" s="122" t="s">
        <v>109</v>
      </c>
      <c r="E19" s="17" t="s">
        <v>283</v>
      </c>
      <c r="F19" s="25">
        <v>221.0</v>
      </c>
      <c r="G19" s="61"/>
      <c r="H19" s="14"/>
    </row>
    <row r="20">
      <c r="A20" s="14">
        <v>15.0</v>
      </c>
      <c r="B20" s="93">
        <v>46123.0</v>
      </c>
      <c r="C20" s="14" t="s">
        <v>59</v>
      </c>
      <c r="D20" s="122" t="s">
        <v>109</v>
      </c>
      <c r="E20" s="24" t="s">
        <v>284</v>
      </c>
      <c r="F20" s="25">
        <v>334.0</v>
      </c>
      <c r="G20" s="61"/>
      <c r="H20" s="14"/>
    </row>
    <row r="21">
      <c r="A21" s="14">
        <v>16.0</v>
      </c>
      <c r="B21" s="123">
        <v>46124.0</v>
      </c>
      <c r="C21" s="14" t="s">
        <v>59</v>
      </c>
      <c r="D21" s="122" t="s">
        <v>109</v>
      </c>
      <c r="E21" s="24" t="s">
        <v>285</v>
      </c>
      <c r="F21" s="25">
        <v>408.0</v>
      </c>
      <c r="G21" s="61"/>
      <c r="H21" s="14"/>
    </row>
    <row r="22">
      <c r="A22" s="14">
        <v>17.0</v>
      </c>
      <c r="B22" s="124">
        <v>46125.0</v>
      </c>
      <c r="C22" s="14" t="s">
        <v>38</v>
      </c>
      <c r="D22" s="122" t="s">
        <v>110</v>
      </c>
      <c r="E22" s="24" t="s">
        <v>286</v>
      </c>
      <c r="F22" s="25">
        <v>198.0</v>
      </c>
      <c r="G22" s="61"/>
      <c r="H22" s="70"/>
    </row>
    <row r="23">
      <c r="A23" s="14">
        <v>18.0</v>
      </c>
      <c r="B23" s="92"/>
      <c r="C23" s="78" t="s">
        <v>59</v>
      </c>
      <c r="D23" s="122" t="s">
        <v>109</v>
      </c>
      <c r="E23" s="24" t="s">
        <v>287</v>
      </c>
      <c r="F23" s="25">
        <v>1.749</v>
      </c>
      <c r="G23" s="61"/>
      <c r="H23" s="70"/>
    </row>
    <row r="24">
      <c r="A24" s="14">
        <v>19.0</v>
      </c>
      <c r="B24" s="76">
        <v>46126.0</v>
      </c>
      <c r="C24" s="78" t="s">
        <v>38</v>
      </c>
      <c r="D24" s="122" t="s">
        <v>110</v>
      </c>
      <c r="E24" s="24" t="s">
        <v>288</v>
      </c>
      <c r="F24" s="25">
        <v>207.0</v>
      </c>
      <c r="G24" s="61"/>
      <c r="H24" s="70"/>
    </row>
    <row r="25">
      <c r="A25" s="14">
        <v>20.0</v>
      </c>
      <c r="B25" s="92"/>
      <c r="C25" s="78" t="s">
        <v>59</v>
      </c>
      <c r="D25" s="122" t="s">
        <v>109</v>
      </c>
      <c r="E25" s="24" t="s">
        <v>289</v>
      </c>
      <c r="F25" s="25">
        <v>1.925</v>
      </c>
      <c r="G25" s="61"/>
      <c r="H25" s="70"/>
    </row>
    <row r="26">
      <c r="A26" s="14">
        <v>21.0</v>
      </c>
      <c r="B26" s="125">
        <v>46127.0</v>
      </c>
      <c r="C26" s="14" t="s">
        <v>38</v>
      </c>
      <c r="D26" s="122" t="s">
        <v>110</v>
      </c>
      <c r="E26" s="24" t="s">
        <v>290</v>
      </c>
      <c r="F26" s="25">
        <v>209.0</v>
      </c>
      <c r="G26" s="61"/>
      <c r="H26" s="14"/>
    </row>
    <row r="27">
      <c r="A27" s="14">
        <v>22.0</v>
      </c>
      <c r="B27" s="107"/>
      <c r="C27" s="14" t="s">
        <v>59</v>
      </c>
      <c r="D27" s="122" t="s">
        <v>109</v>
      </c>
      <c r="E27" s="24" t="s">
        <v>291</v>
      </c>
      <c r="F27" s="25">
        <v>1.765</v>
      </c>
      <c r="G27" s="28"/>
      <c r="H27" s="14"/>
    </row>
    <row r="28">
      <c r="A28" s="14">
        <v>23.0</v>
      </c>
      <c r="B28" s="123">
        <v>46128.0</v>
      </c>
      <c r="C28" s="14" t="s">
        <v>38</v>
      </c>
      <c r="D28" s="122" t="s">
        <v>110</v>
      </c>
      <c r="E28" s="24">
        <v>0.0</v>
      </c>
      <c r="F28" s="25">
        <v>215.0</v>
      </c>
      <c r="G28" s="61"/>
      <c r="H28" s="14"/>
    </row>
    <row r="29">
      <c r="A29" s="14">
        <v>24.0</v>
      </c>
      <c r="B29" s="107"/>
      <c r="C29" s="78" t="s">
        <v>59</v>
      </c>
      <c r="D29" s="122" t="s">
        <v>109</v>
      </c>
      <c r="E29" s="24" t="s">
        <v>292</v>
      </c>
      <c r="F29" s="25">
        <v>1.559</v>
      </c>
      <c r="G29" s="61"/>
      <c r="H29" s="14"/>
    </row>
    <row r="30">
      <c r="A30" s="14">
        <v>25.0</v>
      </c>
      <c r="B30" s="123">
        <v>46129.0</v>
      </c>
      <c r="C30" s="14" t="s">
        <v>175</v>
      </c>
      <c r="D30" s="122" t="s">
        <v>110</v>
      </c>
      <c r="E30" s="24"/>
      <c r="F30" s="25"/>
      <c r="G30" s="61"/>
      <c r="H30" s="14"/>
    </row>
    <row r="31">
      <c r="A31" s="14">
        <v>26.0</v>
      </c>
      <c r="B31" s="107"/>
      <c r="C31" s="14" t="s">
        <v>59</v>
      </c>
      <c r="D31" s="122" t="s">
        <v>109</v>
      </c>
      <c r="E31" s="24"/>
      <c r="F31" s="25"/>
      <c r="G31" s="61"/>
      <c r="H31" s="14"/>
    </row>
    <row r="32">
      <c r="A32" s="14">
        <v>27.0</v>
      </c>
      <c r="B32" s="126">
        <v>46130.0</v>
      </c>
      <c r="C32" s="14" t="s">
        <v>59</v>
      </c>
      <c r="D32" s="122" t="s">
        <v>109</v>
      </c>
      <c r="E32" s="24"/>
      <c r="F32" s="25"/>
      <c r="G32" s="61"/>
      <c r="H32" s="14"/>
    </row>
    <row r="33">
      <c r="A33" s="14">
        <v>28.0</v>
      </c>
      <c r="B33" s="126">
        <v>46131.0</v>
      </c>
      <c r="C33" s="14" t="s">
        <v>59</v>
      </c>
      <c r="D33" s="122" t="s">
        <v>109</v>
      </c>
      <c r="E33" s="24"/>
      <c r="F33" s="25"/>
      <c r="G33" s="61"/>
      <c r="H33" s="14"/>
    </row>
    <row r="34">
      <c r="A34" s="14">
        <v>29.0</v>
      </c>
      <c r="B34" s="123">
        <v>46132.0</v>
      </c>
      <c r="C34" s="14" t="s">
        <v>38</v>
      </c>
      <c r="D34" s="122" t="s">
        <v>156</v>
      </c>
      <c r="E34" s="24"/>
      <c r="F34" s="25"/>
      <c r="G34" s="61"/>
      <c r="H34" s="14"/>
    </row>
    <row r="35">
      <c r="A35" s="14">
        <v>30.0</v>
      </c>
      <c r="B35" s="92"/>
      <c r="C35" s="78" t="s">
        <v>59</v>
      </c>
      <c r="D35" s="122" t="s">
        <v>109</v>
      </c>
      <c r="E35" s="24"/>
      <c r="F35" s="25"/>
      <c r="G35" s="61"/>
      <c r="H35" s="14"/>
    </row>
    <row r="36">
      <c r="A36" s="14">
        <v>31.0</v>
      </c>
      <c r="B36" s="76">
        <v>46133.0</v>
      </c>
      <c r="C36" s="78" t="s">
        <v>38</v>
      </c>
      <c r="D36" s="122" t="s">
        <v>110</v>
      </c>
      <c r="E36" s="24"/>
      <c r="F36" s="25"/>
      <c r="G36" s="61"/>
      <c r="H36" s="14"/>
    </row>
    <row r="37">
      <c r="A37" s="14">
        <v>32.0</v>
      </c>
      <c r="B37" s="116"/>
      <c r="C37" s="14" t="s">
        <v>59</v>
      </c>
      <c r="D37" s="122" t="s">
        <v>109</v>
      </c>
      <c r="E37" s="24"/>
      <c r="F37" s="25"/>
      <c r="G37" s="61"/>
      <c r="H37" s="14"/>
    </row>
    <row r="38">
      <c r="A38" s="14">
        <v>33.0</v>
      </c>
      <c r="B38" s="127">
        <v>46134.0</v>
      </c>
      <c r="C38" s="78" t="s">
        <v>38</v>
      </c>
      <c r="D38" s="122" t="s">
        <v>110</v>
      </c>
      <c r="E38" s="24"/>
      <c r="F38" s="25"/>
      <c r="G38" s="61"/>
      <c r="H38" s="14"/>
    </row>
    <row r="39">
      <c r="A39" s="14">
        <v>34.0</v>
      </c>
      <c r="B39" s="107"/>
      <c r="C39" s="78" t="s">
        <v>59</v>
      </c>
      <c r="D39" s="122" t="s">
        <v>109</v>
      </c>
      <c r="E39" s="24"/>
      <c r="F39" s="25"/>
      <c r="G39" s="61"/>
      <c r="H39" s="14"/>
    </row>
    <row r="40">
      <c r="A40" s="14">
        <v>35.0</v>
      </c>
      <c r="B40" s="76">
        <v>46135.0</v>
      </c>
      <c r="C40" s="78" t="s">
        <v>38</v>
      </c>
      <c r="D40" s="122" t="s">
        <v>110</v>
      </c>
      <c r="E40" s="24"/>
      <c r="F40" s="25"/>
      <c r="G40" s="61"/>
      <c r="H40" s="70"/>
    </row>
    <row r="41">
      <c r="A41" s="14">
        <v>36.0</v>
      </c>
      <c r="B41" s="107"/>
      <c r="C41" s="78" t="s">
        <v>59</v>
      </c>
      <c r="D41" s="122" t="s">
        <v>109</v>
      </c>
      <c r="E41" s="24"/>
      <c r="F41" s="25"/>
      <c r="G41" s="61"/>
      <c r="H41" s="14"/>
    </row>
    <row r="42">
      <c r="A42" s="14">
        <v>37.0</v>
      </c>
      <c r="B42" s="76">
        <v>46136.0</v>
      </c>
      <c r="C42" s="78" t="s">
        <v>38</v>
      </c>
      <c r="D42" s="122" t="s">
        <v>156</v>
      </c>
      <c r="E42" s="24"/>
      <c r="F42" s="25"/>
      <c r="G42" s="61"/>
      <c r="H42" s="14"/>
    </row>
    <row r="43">
      <c r="A43" s="14">
        <v>38.0</v>
      </c>
      <c r="B43" s="107"/>
      <c r="C43" s="78" t="s">
        <v>59</v>
      </c>
      <c r="D43" s="122" t="s">
        <v>109</v>
      </c>
      <c r="E43" s="24"/>
      <c r="F43" s="25"/>
      <c r="G43" s="61"/>
      <c r="H43" s="14"/>
    </row>
    <row r="44">
      <c r="A44" s="14">
        <v>39.0</v>
      </c>
      <c r="B44" s="76">
        <v>46137.0</v>
      </c>
      <c r="C44" s="14" t="s">
        <v>262</v>
      </c>
      <c r="D44" s="122" t="s">
        <v>156</v>
      </c>
      <c r="E44" s="24"/>
      <c r="F44" s="25"/>
      <c r="G44" s="61"/>
      <c r="H44" s="14"/>
    </row>
    <row r="45">
      <c r="A45" s="14">
        <v>40.0</v>
      </c>
      <c r="B45" s="90"/>
      <c r="C45" s="14" t="s">
        <v>40</v>
      </c>
      <c r="D45" s="122"/>
      <c r="E45" s="24"/>
      <c r="F45" s="25"/>
      <c r="G45" s="61"/>
      <c r="H45" s="14"/>
    </row>
    <row r="46">
      <c r="A46" s="14">
        <v>41.0</v>
      </c>
      <c r="B46" s="107"/>
      <c r="C46" s="14" t="s">
        <v>59</v>
      </c>
      <c r="D46" s="122" t="s">
        <v>109</v>
      </c>
      <c r="E46" s="24"/>
      <c r="F46" s="25"/>
      <c r="G46" s="61"/>
      <c r="H46" s="14"/>
    </row>
    <row r="47">
      <c r="A47" s="14">
        <v>42.0</v>
      </c>
      <c r="B47" s="76">
        <v>46138.0</v>
      </c>
      <c r="C47" s="78" t="s">
        <v>38</v>
      </c>
      <c r="D47" s="122" t="s">
        <v>156</v>
      </c>
      <c r="E47" s="24"/>
      <c r="F47" s="25"/>
      <c r="G47" s="61"/>
      <c r="H47" s="14"/>
    </row>
    <row r="48">
      <c r="A48" s="14">
        <v>43.0</v>
      </c>
      <c r="B48" s="90"/>
      <c r="C48" s="78" t="s">
        <v>40</v>
      </c>
      <c r="D48" s="122"/>
      <c r="E48" s="24"/>
      <c r="F48" s="25"/>
      <c r="G48" s="61"/>
      <c r="H48" s="14"/>
    </row>
    <row r="49">
      <c r="A49" s="14">
        <v>44.0</v>
      </c>
      <c r="B49" s="107"/>
      <c r="C49" s="78" t="s">
        <v>59</v>
      </c>
      <c r="D49" s="122" t="s">
        <v>109</v>
      </c>
      <c r="E49" s="24"/>
      <c r="F49" s="25"/>
      <c r="G49" s="61"/>
      <c r="H49" s="14"/>
    </row>
    <row r="50">
      <c r="A50" s="14">
        <v>45.0</v>
      </c>
      <c r="B50" s="120">
        <v>46139.0</v>
      </c>
      <c r="C50" s="14" t="s">
        <v>38</v>
      </c>
      <c r="D50" s="122" t="s">
        <v>110</v>
      </c>
      <c r="E50" s="24"/>
      <c r="F50" s="25"/>
      <c r="G50" s="61"/>
      <c r="H50" s="14"/>
    </row>
    <row r="51">
      <c r="A51" s="14">
        <v>46.0</v>
      </c>
      <c r="B51" s="92"/>
      <c r="C51" s="78" t="s">
        <v>59</v>
      </c>
      <c r="D51" s="122" t="s">
        <v>109</v>
      </c>
      <c r="E51" s="24"/>
      <c r="F51" s="25"/>
      <c r="G51" s="61"/>
      <c r="H51" s="14"/>
    </row>
    <row r="52">
      <c r="A52" s="14">
        <v>47.0</v>
      </c>
      <c r="B52" s="121">
        <v>46140.0</v>
      </c>
      <c r="C52" s="14" t="s">
        <v>262</v>
      </c>
      <c r="D52" s="122" t="s">
        <v>110</v>
      </c>
      <c r="E52" s="69"/>
      <c r="F52" s="14"/>
      <c r="G52" s="70"/>
      <c r="H52" s="14"/>
    </row>
    <row r="53">
      <c r="A53" s="14">
        <v>48.0</v>
      </c>
      <c r="B53" s="92"/>
      <c r="C53" s="14" t="s">
        <v>59</v>
      </c>
      <c r="D53" s="122" t="s">
        <v>109</v>
      </c>
      <c r="E53" s="69"/>
      <c r="F53" s="14"/>
      <c r="G53" s="70"/>
      <c r="H53" s="14"/>
    </row>
    <row r="54">
      <c r="A54" s="14">
        <v>49.0</v>
      </c>
      <c r="B54" s="121">
        <v>46141.0</v>
      </c>
      <c r="C54" s="78" t="s">
        <v>38</v>
      </c>
      <c r="D54" s="122" t="s">
        <v>110</v>
      </c>
      <c r="E54" s="24"/>
      <c r="F54" s="25"/>
      <c r="G54" s="61"/>
      <c r="H54" s="14"/>
    </row>
    <row r="55">
      <c r="A55" s="14">
        <v>50.0</v>
      </c>
      <c r="B55" s="107"/>
      <c r="C55" s="78" t="s">
        <v>59</v>
      </c>
      <c r="D55" s="122" t="s">
        <v>109</v>
      </c>
      <c r="E55" s="24"/>
      <c r="F55" s="25"/>
      <c r="G55" s="28"/>
      <c r="H55" s="14"/>
    </row>
    <row r="56">
      <c r="A56" s="14">
        <v>51.0</v>
      </c>
      <c r="B56" s="121">
        <v>46142.0</v>
      </c>
      <c r="C56" s="14" t="s">
        <v>38</v>
      </c>
      <c r="D56" s="122" t="s">
        <v>110</v>
      </c>
      <c r="E56" s="69"/>
      <c r="F56" s="14"/>
      <c r="G56" s="70"/>
      <c r="H56" s="14"/>
    </row>
    <row r="57">
      <c r="A57" s="14">
        <v>52.0</v>
      </c>
      <c r="B57" s="107"/>
      <c r="C57" s="14" t="s">
        <v>59</v>
      </c>
      <c r="D57" s="122" t="s">
        <v>109</v>
      </c>
      <c r="E57" s="69"/>
      <c r="F57" s="14"/>
      <c r="G57" s="70"/>
      <c r="H57" s="14"/>
    </row>
    <row r="58">
      <c r="D58" s="128"/>
    </row>
    <row r="61">
      <c r="B61" s="110" t="s">
        <v>205</v>
      </c>
      <c r="C61" s="110" t="s">
        <v>31</v>
      </c>
    </row>
    <row r="62">
      <c r="B62" s="110" t="s">
        <v>110</v>
      </c>
      <c r="C62" s="111"/>
    </row>
    <row r="63">
      <c r="B63" s="110" t="s">
        <v>109</v>
      </c>
      <c r="C63" s="111"/>
    </row>
    <row r="64">
      <c r="B64" s="110" t="s">
        <v>273</v>
      </c>
      <c r="C64" s="111"/>
    </row>
    <row r="65">
      <c r="B65" s="112" t="s">
        <v>255</v>
      </c>
      <c r="C65" s="113"/>
    </row>
  </sheetData>
  <autoFilter ref="$A$5:$H$57"/>
  <mergeCells count="1">
    <mergeCell ref="A2:C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3"/>
      <c r="B3" s="4"/>
      <c r="C3" s="5"/>
    </row>
    <row r="4">
      <c r="A4" s="6"/>
      <c r="B4" s="7"/>
      <c r="C4" s="8"/>
    </row>
    <row r="6">
      <c r="A6" s="9"/>
      <c r="B6" s="9"/>
      <c r="C6" s="9"/>
      <c r="D6" s="9"/>
      <c r="E6" s="9"/>
      <c r="F6" s="10"/>
      <c r="G6" s="9"/>
      <c r="H6" s="9"/>
      <c r="I6" s="11"/>
    </row>
    <row r="7">
      <c r="A7" s="12"/>
      <c r="B7" s="33"/>
      <c r="C7" s="14"/>
      <c r="D7" s="16"/>
      <c r="E7" s="16"/>
      <c r="F7" s="24"/>
      <c r="G7" s="25"/>
      <c r="H7" s="67"/>
      <c r="I7" s="12"/>
    </row>
    <row r="8">
      <c r="A8" s="12"/>
      <c r="B8" s="92"/>
      <c r="C8" s="14"/>
      <c r="D8" s="16"/>
      <c r="E8" s="16"/>
      <c r="F8" s="24"/>
      <c r="G8" s="25"/>
      <c r="H8" s="18"/>
      <c r="I8" s="12"/>
    </row>
    <row r="9">
      <c r="A9" s="12"/>
      <c r="B9" s="20"/>
      <c r="C9" s="14"/>
      <c r="D9" s="16"/>
      <c r="E9" s="16"/>
      <c r="F9" s="24"/>
      <c r="G9" s="25"/>
      <c r="H9" s="67"/>
      <c r="I9" s="12"/>
    </row>
    <row r="10">
      <c r="A10" s="12"/>
      <c r="B10" s="33"/>
      <c r="C10" s="14"/>
      <c r="D10" s="16"/>
      <c r="E10" s="16"/>
      <c r="F10" s="24"/>
      <c r="G10" s="25"/>
      <c r="H10" s="18"/>
      <c r="I10" s="12"/>
    </row>
    <row r="11">
      <c r="A11" s="12"/>
      <c r="B11" s="21"/>
      <c r="C11" s="14"/>
      <c r="D11" s="16"/>
      <c r="E11" s="16"/>
      <c r="F11" s="24"/>
      <c r="G11" s="25"/>
      <c r="H11" s="18"/>
      <c r="I11" s="12"/>
    </row>
    <row r="12">
      <c r="A12" s="12"/>
      <c r="B12" s="92"/>
      <c r="C12" s="14"/>
      <c r="D12" s="16"/>
      <c r="E12" s="16"/>
      <c r="F12" s="24"/>
      <c r="G12" s="25"/>
      <c r="H12" s="18"/>
      <c r="I12" s="12"/>
    </row>
    <row r="13">
      <c r="A13" s="12"/>
      <c r="B13" s="20"/>
      <c r="C13" s="14"/>
      <c r="D13" s="15"/>
      <c r="E13" s="16"/>
      <c r="F13" s="17"/>
      <c r="G13" s="18"/>
      <c r="H13" s="67"/>
      <c r="I13" s="12"/>
    </row>
    <row r="14">
      <c r="A14" s="12"/>
      <c r="B14" s="33"/>
      <c r="C14" s="14"/>
      <c r="D14" s="15"/>
      <c r="E14" s="16"/>
      <c r="F14" s="17"/>
      <c r="G14" s="18"/>
      <c r="H14" s="67"/>
      <c r="I14" s="12"/>
    </row>
    <row r="15">
      <c r="A15" s="12"/>
      <c r="B15" s="21"/>
      <c r="C15" s="14"/>
      <c r="D15" s="15"/>
      <c r="E15" s="16"/>
      <c r="F15" s="17"/>
      <c r="G15" s="18"/>
      <c r="H15" s="18"/>
      <c r="I15" s="12"/>
    </row>
    <row r="16">
      <c r="A16" s="12"/>
      <c r="B16" s="21"/>
      <c r="C16" s="14"/>
      <c r="D16" s="15"/>
      <c r="E16" s="16"/>
      <c r="F16" s="17"/>
      <c r="G16" s="18"/>
      <c r="H16" s="18"/>
      <c r="I16" s="12"/>
    </row>
    <row r="17">
      <c r="A17" s="12"/>
      <c r="B17" s="33"/>
      <c r="C17" s="14"/>
      <c r="D17" s="15"/>
      <c r="E17" s="16"/>
      <c r="F17" s="17"/>
      <c r="G17" s="18"/>
      <c r="H17" s="67"/>
      <c r="I17" s="12"/>
    </row>
    <row r="18">
      <c r="A18" s="12"/>
      <c r="B18" s="21"/>
      <c r="C18" s="14"/>
      <c r="D18" s="15"/>
      <c r="E18" s="16"/>
      <c r="F18" s="17"/>
      <c r="G18" s="18"/>
      <c r="H18" s="18"/>
      <c r="I18" s="12"/>
    </row>
    <row r="19">
      <c r="A19" s="12"/>
      <c r="B19" s="21"/>
      <c r="C19" s="14"/>
      <c r="D19" s="16"/>
      <c r="E19" s="16"/>
      <c r="F19" s="17"/>
      <c r="G19" s="18"/>
      <c r="H19" s="67"/>
      <c r="I19" s="12"/>
    </row>
    <row r="20">
      <c r="A20" s="12"/>
      <c r="B20" s="33"/>
      <c r="C20" s="14"/>
      <c r="D20" s="16"/>
      <c r="E20" s="16"/>
      <c r="F20" s="17"/>
      <c r="G20" s="18"/>
      <c r="H20" s="60"/>
      <c r="I20" s="12"/>
    </row>
    <row r="21">
      <c r="A21" s="12"/>
      <c r="B21" s="21"/>
      <c r="C21" s="14"/>
      <c r="D21" s="16"/>
      <c r="E21" s="16"/>
      <c r="F21" s="17"/>
      <c r="G21" s="18"/>
      <c r="H21" s="67"/>
      <c r="I21" s="12"/>
    </row>
    <row r="22">
      <c r="A22" s="12"/>
      <c r="B22" s="33"/>
      <c r="C22" s="14"/>
      <c r="D22" s="16"/>
      <c r="E22" s="16"/>
      <c r="F22" s="24"/>
      <c r="G22" s="25"/>
      <c r="H22" s="25"/>
      <c r="I22" s="12"/>
    </row>
    <row r="23">
      <c r="A23" s="12"/>
      <c r="B23" s="21"/>
      <c r="C23" s="14"/>
      <c r="D23" s="16"/>
      <c r="E23" s="16"/>
      <c r="F23" s="24"/>
      <c r="G23" s="25"/>
      <c r="H23" s="61"/>
      <c r="I23" s="12"/>
    </row>
    <row r="24">
      <c r="A24" s="12"/>
      <c r="B24" s="33"/>
      <c r="C24" s="14"/>
      <c r="D24" s="16"/>
      <c r="E24" s="16"/>
      <c r="F24" s="24"/>
      <c r="G24" s="25"/>
      <c r="H24" s="25"/>
      <c r="I24" s="12"/>
    </row>
    <row r="25">
      <c r="A25" s="12"/>
      <c r="B25" s="21"/>
      <c r="C25" s="14"/>
      <c r="D25" s="15"/>
      <c r="E25" s="16"/>
      <c r="F25" s="24"/>
      <c r="G25" s="25"/>
      <c r="H25" s="25"/>
      <c r="I25" s="27"/>
    </row>
    <row r="26">
      <c r="A26" s="12"/>
      <c r="B26" s="33"/>
      <c r="C26" s="14"/>
      <c r="D26" s="15"/>
      <c r="E26" s="16"/>
      <c r="F26" s="24"/>
      <c r="G26" s="25"/>
      <c r="H26" s="25"/>
      <c r="I26" s="27"/>
    </row>
    <row r="27">
      <c r="A27" s="12"/>
      <c r="B27" s="21"/>
      <c r="C27" s="14"/>
      <c r="D27" s="15"/>
      <c r="E27" s="16"/>
      <c r="F27" s="24"/>
      <c r="G27" s="25"/>
      <c r="H27" s="61"/>
      <c r="I27" s="27"/>
    </row>
    <row r="28">
      <c r="A28" s="12"/>
      <c r="B28" s="33"/>
      <c r="C28" s="14"/>
      <c r="D28" s="15"/>
      <c r="E28" s="16"/>
      <c r="F28" s="24"/>
      <c r="G28" s="25"/>
      <c r="H28" s="25"/>
      <c r="I28" s="27"/>
    </row>
    <row r="29">
      <c r="A29" s="12"/>
      <c r="B29" s="21"/>
      <c r="C29" s="14"/>
      <c r="D29" s="15"/>
      <c r="E29" s="16"/>
      <c r="F29" s="24"/>
      <c r="G29" s="25"/>
      <c r="H29" s="61"/>
      <c r="I29" s="27"/>
    </row>
    <row r="30">
      <c r="A30" s="12"/>
      <c r="B30" s="33"/>
      <c r="C30" s="14"/>
      <c r="D30" s="15"/>
      <c r="E30" s="16"/>
      <c r="F30" s="24"/>
      <c r="G30" s="25"/>
      <c r="H30" s="25"/>
      <c r="I30" s="27"/>
    </row>
    <row r="31">
      <c r="A31" s="12"/>
      <c r="B31" s="21"/>
      <c r="C31" s="14"/>
      <c r="D31" s="15"/>
      <c r="E31" s="16"/>
      <c r="F31" s="24"/>
      <c r="G31" s="25"/>
      <c r="H31" s="61"/>
      <c r="I31" s="27"/>
    </row>
    <row r="32">
      <c r="A32" s="12"/>
      <c r="B32" s="92"/>
      <c r="C32" s="14"/>
      <c r="D32" s="15"/>
      <c r="E32" s="16"/>
      <c r="F32" s="24"/>
      <c r="G32" s="25"/>
      <c r="H32" s="25"/>
      <c r="I32" s="27"/>
    </row>
    <row r="33">
      <c r="A33" s="12"/>
      <c r="B33" s="92"/>
      <c r="C33" s="14"/>
      <c r="D33" s="15"/>
      <c r="E33" s="16"/>
      <c r="F33" s="24"/>
      <c r="G33" s="25"/>
      <c r="H33" s="25"/>
      <c r="I33" s="27"/>
    </row>
    <row r="34">
      <c r="A34" s="12"/>
      <c r="B34" s="92"/>
      <c r="C34" s="14"/>
      <c r="D34" s="15"/>
      <c r="E34" s="16"/>
      <c r="F34" s="24"/>
      <c r="G34" s="25"/>
      <c r="H34" s="25"/>
      <c r="I34" s="27"/>
    </row>
    <row r="35">
      <c r="A35" s="12"/>
      <c r="B35" s="21"/>
      <c r="C35" s="14"/>
      <c r="D35" s="15"/>
      <c r="E35" s="16"/>
      <c r="F35" s="24"/>
      <c r="G35" s="25"/>
      <c r="H35" s="61"/>
      <c r="I35" s="27"/>
    </row>
    <row r="36">
      <c r="A36" s="12"/>
      <c r="B36" s="33"/>
      <c r="C36" s="70"/>
      <c r="D36" s="15"/>
      <c r="E36" s="16"/>
      <c r="F36" s="24"/>
      <c r="G36" s="25"/>
      <c r="H36" s="25"/>
      <c r="I36" s="27"/>
    </row>
    <row r="37">
      <c r="A37" s="12"/>
      <c r="B37" s="21"/>
      <c r="C37" s="70"/>
      <c r="D37" s="15"/>
      <c r="E37" s="16"/>
      <c r="F37" s="24"/>
      <c r="G37" s="25"/>
      <c r="H37" s="25"/>
      <c r="I37" s="27"/>
    </row>
    <row r="38">
      <c r="A38" s="12"/>
      <c r="B38" s="33"/>
      <c r="C38" s="70"/>
      <c r="D38" s="15"/>
      <c r="E38" s="16"/>
      <c r="F38" s="24"/>
      <c r="G38" s="25"/>
      <c r="H38" s="25"/>
      <c r="I38" s="27"/>
    </row>
    <row r="39">
      <c r="A39" s="12"/>
      <c r="B39" s="21"/>
      <c r="C39" s="70"/>
      <c r="D39" s="15"/>
      <c r="E39" s="16"/>
      <c r="F39" s="24"/>
      <c r="G39" s="25"/>
      <c r="H39" s="25"/>
      <c r="I39" s="27"/>
    </row>
    <row r="40">
      <c r="A40" s="12"/>
      <c r="B40" s="33"/>
      <c r="C40" s="70"/>
      <c r="D40" s="15"/>
      <c r="E40" s="16"/>
      <c r="F40" s="24"/>
      <c r="G40" s="25"/>
      <c r="H40" s="61"/>
      <c r="I40" s="27"/>
    </row>
    <row r="41">
      <c r="A41" s="12"/>
      <c r="B41" s="21"/>
      <c r="C41" s="70"/>
      <c r="D41" s="15"/>
      <c r="E41" s="16"/>
      <c r="F41" s="24"/>
      <c r="G41" s="25"/>
      <c r="H41" s="25"/>
      <c r="I41" s="27"/>
    </row>
    <row r="42">
      <c r="A42" s="12"/>
      <c r="B42" s="33"/>
      <c r="C42" s="70"/>
      <c r="D42" s="15"/>
      <c r="E42" s="16"/>
      <c r="F42" s="24"/>
      <c r="G42" s="25"/>
      <c r="H42" s="61"/>
      <c r="I42" s="27"/>
    </row>
    <row r="43">
      <c r="A43" s="12"/>
      <c r="B43" s="21"/>
      <c r="C43" s="70"/>
      <c r="D43" s="15"/>
      <c r="E43" s="16"/>
      <c r="F43" s="24"/>
      <c r="G43" s="25"/>
      <c r="H43" s="61"/>
      <c r="I43" s="27"/>
    </row>
    <row r="44">
      <c r="A44" s="12"/>
      <c r="B44" s="33"/>
      <c r="C44" s="14"/>
      <c r="D44" s="15"/>
      <c r="E44" s="16"/>
      <c r="F44" s="24"/>
      <c r="G44" s="25"/>
      <c r="H44" s="25"/>
      <c r="I44" s="27"/>
    </row>
    <row r="45">
      <c r="A45" s="12"/>
      <c r="B45" s="33"/>
      <c r="C45" s="14"/>
      <c r="D45" s="15"/>
      <c r="E45" s="16"/>
      <c r="F45" s="24"/>
      <c r="G45" s="25"/>
      <c r="H45" s="61"/>
      <c r="I45" s="27"/>
    </row>
    <row r="46">
      <c r="A46" s="12"/>
      <c r="B46" s="33"/>
      <c r="C46" s="14"/>
      <c r="D46" s="15"/>
      <c r="E46" s="16"/>
      <c r="F46" s="24"/>
      <c r="G46" s="25"/>
      <c r="H46" s="62"/>
      <c r="I46" s="27"/>
    </row>
    <row r="47">
      <c r="A47" s="12"/>
      <c r="B47" s="21"/>
      <c r="C47" s="14"/>
      <c r="D47" s="15"/>
      <c r="E47" s="16"/>
      <c r="F47" s="24"/>
      <c r="G47" s="25"/>
      <c r="H47" s="61"/>
      <c r="I47" s="27"/>
    </row>
    <row r="48">
      <c r="A48" s="12"/>
      <c r="B48" s="21"/>
      <c r="C48" s="14"/>
      <c r="D48" s="15"/>
      <c r="E48" s="16"/>
      <c r="F48" s="24"/>
      <c r="G48" s="25"/>
      <c r="H48" s="25"/>
      <c r="I48" s="27"/>
    </row>
    <row r="49">
      <c r="A49" s="12"/>
      <c r="B49" s="33"/>
      <c r="C49" s="14"/>
      <c r="D49" s="15"/>
      <c r="E49" s="16"/>
      <c r="F49" s="24"/>
      <c r="G49" s="25"/>
      <c r="H49" s="25"/>
      <c r="I49" s="27"/>
    </row>
    <row r="50">
      <c r="A50" s="12"/>
      <c r="B50" s="21"/>
      <c r="C50" s="14"/>
      <c r="D50" s="15"/>
      <c r="E50" s="16"/>
      <c r="F50" s="24"/>
      <c r="G50" s="25"/>
      <c r="H50" s="25"/>
      <c r="I50" s="27"/>
    </row>
    <row r="51">
      <c r="A51" s="12"/>
      <c r="B51" s="21"/>
      <c r="C51" s="14"/>
      <c r="D51" s="15"/>
      <c r="E51" s="16"/>
      <c r="F51" s="24"/>
      <c r="G51" s="25"/>
      <c r="H51" s="25"/>
      <c r="I51" s="27"/>
    </row>
    <row r="52">
      <c r="A52" s="12"/>
      <c r="B52" s="92"/>
      <c r="C52" s="14"/>
      <c r="D52" s="15"/>
      <c r="E52" s="16"/>
      <c r="F52" s="24"/>
      <c r="G52" s="25"/>
      <c r="H52" s="61"/>
      <c r="I52" s="27"/>
    </row>
    <row r="53">
      <c r="A53" s="12"/>
      <c r="B53" s="21"/>
      <c r="C53" s="14"/>
      <c r="D53" s="15"/>
      <c r="E53" s="16"/>
      <c r="F53" s="24"/>
      <c r="G53" s="25"/>
      <c r="H53" s="61"/>
      <c r="I53" s="27"/>
    </row>
    <row r="54">
      <c r="A54" s="12"/>
      <c r="B54" s="33"/>
      <c r="C54" s="14"/>
      <c r="D54" s="15"/>
      <c r="E54" s="16"/>
      <c r="F54" s="24"/>
      <c r="G54" s="25"/>
      <c r="H54" s="25"/>
      <c r="I54" s="27"/>
    </row>
    <row r="55">
      <c r="A55" s="12"/>
      <c r="B55" s="21"/>
      <c r="C55" s="14"/>
      <c r="D55" s="15"/>
      <c r="E55" s="16"/>
      <c r="F55" s="24"/>
      <c r="G55" s="25"/>
      <c r="H55" s="61"/>
      <c r="I55" s="27"/>
    </row>
    <row r="56">
      <c r="A56" s="12"/>
      <c r="B56" s="33"/>
      <c r="C56" s="14"/>
      <c r="D56" s="15"/>
      <c r="E56" s="16"/>
      <c r="F56" s="24"/>
      <c r="G56" s="25"/>
      <c r="H56" s="25"/>
      <c r="I56" s="27"/>
    </row>
    <row r="57">
      <c r="A57" s="12"/>
      <c r="B57" s="21"/>
      <c r="C57" s="14"/>
      <c r="D57" s="15"/>
      <c r="E57" s="16"/>
      <c r="F57" s="24"/>
      <c r="G57" s="25"/>
      <c r="H57" s="61"/>
      <c r="I57" s="27"/>
    </row>
    <row r="58">
      <c r="A58" s="12"/>
      <c r="B58" s="33"/>
      <c r="C58" s="14"/>
      <c r="D58" s="15"/>
      <c r="E58" s="16"/>
      <c r="F58" s="24"/>
      <c r="G58" s="25"/>
      <c r="H58" s="25"/>
      <c r="I58" s="27"/>
    </row>
    <row r="59">
      <c r="A59" s="12"/>
      <c r="B59" s="21"/>
      <c r="C59" s="14"/>
      <c r="D59" s="15"/>
      <c r="E59" s="16"/>
      <c r="F59" s="24"/>
      <c r="G59" s="25"/>
      <c r="H59" s="61"/>
      <c r="I59" s="27"/>
    </row>
    <row r="60">
      <c r="A60" s="12"/>
      <c r="B60" s="33"/>
      <c r="C60" s="14"/>
      <c r="D60" s="16"/>
      <c r="E60" s="16"/>
      <c r="F60" s="24"/>
      <c r="G60" s="25"/>
      <c r="H60" s="25"/>
      <c r="I60" s="27"/>
    </row>
    <row r="61">
      <c r="A61" s="12"/>
      <c r="B61" s="76"/>
      <c r="C61" s="14"/>
      <c r="D61" s="16"/>
      <c r="E61" s="16"/>
      <c r="F61" s="24"/>
      <c r="G61" s="25"/>
      <c r="H61" s="25"/>
      <c r="I61" s="27"/>
    </row>
    <row r="62">
      <c r="A62" s="12"/>
      <c r="B62" s="90"/>
      <c r="C62" s="14"/>
      <c r="D62" s="16"/>
      <c r="E62" s="16"/>
      <c r="F62" s="64"/>
      <c r="G62" s="25"/>
      <c r="H62" s="26"/>
      <c r="I62" s="27"/>
    </row>
    <row r="63">
      <c r="A63" s="12"/>
      <c r="B63" s="76"/>
      <c r="C63" s="14"/>
      <c r="D63" s="16"/>
      <c r="E63" s="16"/>
      <c r="F63" s="24"/>
      <c r="G63" s="25"/>
      <c r="H63" s="61"/>
      <c r="I63" s="27"/>
    </row>
    <row r="64">
      <c r="A64" s="12"/>
      <c r="B64" s="90"/>
      <c r="C64" s="14"/>
      <c r="D64" s="16"/>
      <c r="E64" s="16"/>
      <c r="F64" s="69"/>
      <c r="G64" s="14"/>
      <c r="H64" s="70"/>
      <c r="I64" s="27"/>
    </row>
    <row r="65">
      <c r="A65" s="12"/>
      <c r="B65" s="76"/>
      <c r="C65" s="14"/>
      <c r="D65" s="16"/>
      <c r="E65" s="16"/>
      <c r="F65" s="69"/>
      <c r="G65" s="14"/>
      <c r="H65" s="70"/>
      <c r="I65" s="27"/>
    </row>
    <row r="66">
      <c r="A66" s="12"/>
      <c r="B66" s="90"/>
      <c r="C66" s="14"/>
      <c r="D66" s="16"/>
      <c r="E66" s="16"/>
      <c r="F66" s="69"/>
      <c r="G66" s="14"/>
      <c r="H66" s="14"/>
      <c r="I66" s="27"/>
    </row>
    <row r="67">
      <c r="A67" s="12"/>
      <c r="B67" s="76"/>
      <c r="C67" s="14"/>
      <c r="D67" s="16"/>
      <c r="E67" s="16"/>
      <c r="F67" s="69"/>
      <c r="G67" s="14"/>
      <c r="H67" s="14"/>
      <c r="I67" s="27"/>
    </row>
  </sheetData>
  <autoFilter ref="$A$1"/>
  <mergeCells count="23">
    <mergeCell ref="A3:C4"/>
    <mergeCell ref="B8:B9"/>
    <mergeCell ref="B10:B11"/>
    <mergeCell ref="B12:B13"/>
    <mergeCell ref="B14:B16"/>
    <mergeCell ref="B17:B19"/>
    <mergeCell ref="B20:B21"/>
    <mergeCell ref="B22:B23"/>
    <mergeCell ref="B24:B25"/>
    <mergeCell ref="B26:B27"/>
    <mergeCell ref="B28:B29"/>
    <mergeCell ref="B30:B31"/>
    <mergeCell ref="B34:B35"/>
    <mergeCell ref="B36:B37"/>
    <mergeCell ref="B56:B57"/>
    <mergeCell ref="B58:B59"/>
    <mergeCell ref="B38:B39"/>
    <mergeCell ref="B40:B41"/>
    <mergeCell ref="B42:B43"/>
    <mergeCell ref="B46:B48"/>
    <mergeCell ref="B49:B51"/>
    <mergeCell ref="B52:B53"/>
    <mergeCell ref="B54:B55"/>
  </mergeCells>
  <drawing r:id="rId1"/>
</worksheet>
</file>